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3" yWindow="-93" windowWidth="25786" windowHeight="14066" tabRatio="600" firstSheet="0" activeTab="0" autoFilterDateGrouping="1"/>
  </bookViews>
  <sheets>
    <sheet name="Sheet1" sheetId="1" state="visible" r:id="rId1"/>
    <sheet name="AIML_Test_Data" sheetId="2" state="visible" r:id="rId2"/>
    <sheet name="AIML_UDF_Tests" sheetId="3" state="visible" r:id="rId3"/>
    <sheet name="LLM_Test_Data" sheetId="4" state="visible" r:id="rId4"/>
    <sheet name="LLM_UDF_Tests" sheetId="5" state="visible" r:id="rId5"/>
  </sheets>
  <definedNames/>
  <calcPr calcId="191029" calcMode="auto" fullCalcOnLoad="1" concurrentManualCount="24" forceFullCalc="1"/>
</workbook>
</file>

<file path=xl/styles.xml><?xml version="1.0" encoding="utf-8"?>
<styleSheet xmlns="http://schemas.openxmlformats.org/spreadsheetml/2006/main">
  <numFmts count="1">
    <numFmt numFmtId="164" formatCode="0.0000000000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b val="1"/>
      <sz val="14"/>
    </font>
    <font>
      <b val="1"/>
      <color rgb="00FFFFFF"/>
      <sz val="16"/>
    </font>
    <font>
      <b val="1"/>
    </font>
    <font>
      <b val="1"/>
      <color rgb="00FFFFFF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E2F0D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bottom style="thin">
        <color rgb="00B7B7B7"/>
      </bottom>
    </border>
    <border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2" borderId="1" pivotButton="0" quotePrefix="0" xfId="0"/>
    <xf numFmtId="0" fontId="1" fillId="0" borderId="2" pivotButton="0" quotePrefix="0" xfId="0"/>
    <xf numFmtId="0" fontId="0" fillId="0" borderId="2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4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6" fillId="4" borderId="0" pivotButton="0" quotePrefix="0" xfId="0"/>
    <xf numFmtId="0" fontId="5" fillId="5" borderId="0" pivotButton="0" quotePrefix="0" xfId="0"/>
    <xf numFmtId="0" fontId="5" fillId="5" borderId="3" pivotButton="0" quotePrefix="0" xfId="0"/>
    <xf numFmtId="0" fontId="0" fillId="6" borderId="3" pivotButton="0" quotePrefix="0" xfId="0"/>
    <xf numFmtId="0" fontId="0" fillId="0" borderId="3" pivotButton="0" quotePrefix="0" xfId="0"/>
    <xf numFmtId="164" fontId="0" fillId="0" borderId="3" pivotButton="0" quotePrefix="0" xfId="0"/>
    <xf numFmtId="0" fontId="5" fillId="0" borderId="3" pivotButton="0" quotePrefix="0" xfId="0"/>
    <xf numFmtId="0" fontId="7" fillId="4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center" wrapText="1"/>
    </xf>
    <xf numFmtId="0" fontId="5" fillId="5" borderId="4" pivotButton="0" quotePrefix="0" xfId="0"/>
    <xf numFmtId="0" fontId="0" fillId="0" borderId="4" applyAlignment="1" pivotButton="0" quotePrefix="0" xfId="0">
      <alignment vertical="top" wrapText="1"/>
    </xf>
    <xf numFmtId="0" fontId="0" fillId="0" borderId="4" pivotButton="0" quotePrefix="0" xfId="0"/>
    <xf numFmtId="0" fontId="0" fillId="5" borderId="4" applyAlignment="1" pivotButton="0" quotePrefix="0" xfId="0">
      <alignment vertical="top" wrapText="1"/>
    </xf>
    <xf numFmtId="0" fontId="0" fillId="7" borderId="4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J40"/>
  <sheetViews>
    <sheetView tabSelected="1" topLeftCell="A4" workbookViewId="0">
      <selection activeCell="D27" sqref="D27"/>
    </sheetView>
  </sheetViews>
  <sheetFormatPr baseColWidth="8" defaultRowHeight="14.35"/>
  <cols>
    <col width="14.9375" customWidth="1" min="1" max="1"/>
    <col width="23.234375" customWidth="1" min="3" max="3"/>
  </cols>
  <sheetData>
    <row r="4">
      <c r="A4" s="4" t="inlineStr">
        <is>
          <t>HashArray UDF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t="n">
        <v>16</v>
      </c>
      <c r="B5" t="inlineStr">
        <is>
          <t>Hello</t>
        </is>
      </c>
      <c r="C5" t="inlineStr">
        <is>
          <t>World</t>
        </is>
      </c>
      <c r="D5">
        <f t="array" ref="D5">_xll.HashArray(B5:C5, A5)</f>
        <v/>
      </c>
    </row>
    <row r="6">
      <c r="A6" t="n">
        <v>16</v>
      </c>
      <c r="B6" t="inlineStr">
        <is>
          <t>Word</t>
        </is>
      </c>
      <c r="C6" t="inlineStr">
        <is>
          <t>Hello</t>
        </is>
      </c>
      <c r="D6">
        <f t="array" ref="D6">_xll.HashArray(B6:C6, A6)</f>
        <v/>
      </c>
    </row>
    <row r="7">
      <c r="A7" t="n">
        <v>32</v>
      </c>
      <c r="B7" t="inlineStr">
        <is>
          <t>Hello</t>
        </is>
      </c>
      <c r="C7" t="inlineStr">
        <is>
          <t>World</t>
        </is>
      </c>
      <c r="D7">
        <f t="array" ref="D7">_xll.HashArray(B7:C7, A7)</f>
        <v/>
      </c>
    </row>
    <row r="8">
      <c r="A8" t="n">
        <v>32</v>
      </c>
      <c r="B8" t="inlineStr">
        <is>
          <t>Word</t>
        </is>
      </c>
      <c r="C8" t="inlineStr">
        <is>
          <t>Hello</t>
        </is>
      </c>
      <c r="D8">
        <f t="array" ref="D8">_xll.HashArray(B8:C8, A8)</f>
        <v/>
      </c>
    </row>
    <row r="9">
      <c r="A9" s="2" t="inlineStr">
        <is>
          <t>Succeeded?</t>
        </is>
      </c>
      <c r="B9" s="6">
        <f>AND(D5=D6,D7=D8)</f>
        <v/>
      </c>
      <c r="C9" s="3" t="n"/>
      <c r="D9" s="3" t="n"/>
      <c r="E9" s="3" t="n"/>
      <c r="F9" s="3" t="n"/>
      <c r="G9" s="3" t="n"/>
      <c r="H9" s="3" t="n"/>
      <c r="I9" s="3" t="n"/>
    </row>
    <row r="11">
      <c r="A11" s="4" t="inlineStr">
        <is>
          <t>SetThreads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t="inlineStr">
        <is>
          <t>Desired Threads:</t>
        </is>
      </c>
      <c r="B12" t="n">
        <v>48</v>
      </c>
      <c r="C12">
        <f t="array" ref="C12">_xll.SetThreads(B12,TRUE)</f>
        <v/>
      </c>
    </row>
    <row r="14">
      <c r="A14" s="1" t="inlineStr">
        <is>
          <t>GetThreads</t>
        </is>
      </c>
    </row>
    <row r="15">
      <c r="A15">
        <f t="array" ref="A15:B17">_xll.GetThreads()</f>
        <v/>
      </c>
      <c r="B15" t="n">
        <v>24</v>
      </c>
    </row>
    <row r="16">
      <c r="A16" t="inlineStr">
        <is>
          <t>Max Available</t>
        </is>
      </c>
      <c r="B16" t="n">
        <v>64</v>
      </c>
    </row>
    <row r="17">
      <c r="A17" t="inlineStr">
        <is>
          <t>Mode Enabled</t>
        </is>
      </c>
      <c r="B17" t="b">
        <v>1</v>
      </c>
    </row>
    <row r="18">
      <c r="A18" s="2" t="inlineStr">
        <is>
          <t>Succeeded?</t>
        </is>
      </c>
      <c r="B18" s="3">
        <f>B15=B12</f>
        <v/>
      </c>
      <c r="C18" s="3" t="n"/>
      <c r="D18" s="3" t="n"/>
      <c r="E18" s="3" t="n"/>
      <c r="F18" s="3" t="n"/>
      <c r="G18" s="3" t="n"/>
      <c r="H18" s="3" t="n"/>
      <c r="I18" s="3" t="n"/>
    </row>
    <row r="20">
      <c r="A20" s="4" t="inlineStr">
        <is>
          <t xml:space="preserve">IsMemberOf </t>
        </is>
      </c>
      <c r="B20" s="5" t="n"/>
      <c r="C20" s="5" t="n"/>
      <c r="D20" s="5" t="inlineStr">
        <is>
          <t>Hello</t>
        </is>
      </c>
      <c r="E20" s="5" t="inlineStr">
        <is>
          <t>World</t>
        </is>
      </c>
      <c r="F20" s="5" t="inlineStr">
        <is>
          <t>Goodbye</t>
        </is>
      </c>
      <c r="G20" s="5" t="inlineStr">
        <is>
          <t>Mars</t>
        </is>
      </c>
      <c r="H20" s="5" t="n"/>
      <c r="I20" s="5" t="n"/>
    </row>
    <row r="21">
      <c r="A21" t="inlineStr">
        <is>
          <t>Test 1</t>
        </is>
      </c>
      <c r="B21">
        <f t="array" ref="B21">_xll.IsMemberOf(D20:G20, D21:E21)</f>
        <v/>
      </c>
      <c r="D21" t="inlineStr">
        <is>
          <t>Mars</t>
        </is>
      </c>
      <c r="E21" t="inlineStr">
        <is>
          <t>World</t>
        </is>
      </c>
    </row>
    <row r="22">
      <c r="A22" t="inlineStr">
        <is>
          <t>Test 2</t>
        </is>
      </c>
      <c r="B22">
        <f t="array" ref="B22">_xll.IsMemberOf(D20:G20,D22:E22)</f>
        <v/>
      </c>
      <c r="D22" t="inlineStr">
        <is>
          <t>Goodbye</t>
        </is>
      </c>
      <c r="E22" t="inlineStr">
        <is>
          <t>Pluto</t>
        </is>
      </c>
    </row>
    <row r="23">
      <c r="A23" t="inlineStr">
        <is>
          <t>Test 3</t>
        </is>
      </c>
      <c r="B23">
        <f t="array" ref="B23">_xll.IsMemberOf(D20:G20,D23:E23)</f>
        <v/>
      </c>
      <c r="D23" t="inlineStr">
        <is>
          <t>Jupiter</t>
        </is>
      </c>
    </row>
    <row r="24">
      <c r="A24" s="2" t="inlineStr">
        <is>
          <t>Succeeded?</t>
        </is>
      </c>
      <c r="B24" s="3">
        <f>AND(B21,B22,NOT(B23))</f>
        <v/>
      </c>
      <c r="C24" s="3" t="n"/>
      <c r="D24" s="3" t="n"/>
      <c r="E24" s="3" t="n"/>
      <c r="F24" s="3" t="n"/>
      <c r="G24" s="3" t="n"/>
      <c r="H24" s="3" t="n"/>
      <c r="I24" s="3" t="n"/>
    </row>
    <row r="26">
      <c r="A26" s="1" t="inlineStr">
        <is>
          <t>TrueSplit</t>
        </is>
      </c>
      <c r="C26" t="inlineStr">
        <is>
          <t>A,B,CC,DDDD,EFG,,45</t>
        </is>
      </c>
      <c r="D26">
        <f t="array" ref="D26:J26">_xll.TrueSplit(C26,",")</f>
        <v/>
      </c>
      <c r="E26" t="inlineStr">
        <is>
          <t>B</t>
        </is>
      </c>
      <c r="F26" t="inlineStr">
        <is>
          <t>CC</t>
        </is>
      </c>
      <c r="G26" t="inlineStr">
        <is>
          <t>DDDD</t>
        </is>
      </c>
      <c r="H26" t="inlineStr">
        <is>
          <t>EFG</t>
        </is>
      </c>
      <c r="J26" t="inlineStr">
        <is>
          <t>45</t>
        </is>
      </c>
    </row>
    <row r="27">
      <c r="A27" s="1" t="n"/>
      <c r="C27">
        <f>_xlfn.TEXTJOIN(",",FALSE,_xlfn.ANCHORARRAY(D26))</f>
        <v/>
      </c>
    </row>
    <row r="28">
      <c r="C28" t="inlineStr">
        <is>
          <t>GF^jhgdh^dddgc^ddddd^^&amp;</t>
        </is>
      </c>
      <c r="D28">
        <f t="array" ref="D28:I28">_xll.TrueSplit(C28,"^")</f>
        <v/>
      </c>
      <c r="E28" t="inlineStr">
        <is>
          <t>jhgdh</t>
        </is>
      </c>
      <c r="F28" t="inlineStr">
        <is>
          <t>dddgc</t>
        </is>
      </c>
      <c r="G28" t="inlineStr">
        <is>
          <t>ddddd</t>
        </is>
      </c>
      <c r="I28" t="inlineStr">
        <is>
          <t>&amp;</t>
        </is>
      </c>
    </row>
    <row r="29">
      <c r="C29">
        <f>_xlfn.TEXTJOIN("^",FALSE,_xlfn.ANCHORARRAY(D28))</f>
        <v/>
      </c>
    </row>
    <row r="31">
      <c r="A31" s="2" t="inlineStr">
        <is>
          <t>Succeeded?</t>
        </is>
      </c>
      <c r="B31" s="3">
        <f>AND(C27=C26,C29=C28)</f>
        <v/>
      </c>
      <c r="C31" s="3" t="n"/>
      <c r="D31" s="3" t="n"/>
      <c r="E31" s="3" t="n"/>
      <c r="F31" s="3" t="n"/>
      <c r="G31" s="3" t="n"/>
      <c r="H31" s="3" t="n"/>
      <c r="I31" s="3" t="n"/>
    </row>
    <row r="33">
      <c r="A33" s="1" t="inlineStr">
        <is>
          <t xml:space="preserve">FindPos </t>
        </is>
      </c>
      <c r="B33" t="inlineStr">
        <is>
          <t>String</t>
        </is>
      </c>
      <c r="C33" t="inlineStr">
        <is>
          <t xml:space="preserve">Lorem ipsum dolor sit amet, consectetur adipiscing elit, sed do eiusmod tempor incididunt ut labore et dolore magna aliqua. </t>
        </is>
      </c>
    </row>
    <row r="34">
      <c r="A34" t="inlineStr">
        <is>
          <t>amet</t>
        </is>
      </c>
      <c r="B34" t="n">
        <v>1</v>
      </c>
      <c r="C34">
        <f t="array" ref="C34">_xll.FindPos($C$33,A34,B34)</f>
        <v/>
      </c>
      <c r="D34">
        <f>MID($C$33,C34,LEN(A34))</f>
        <v/>
      </c>
    </row>
    <row r="35">
      <c r="A35" t="inlineStr">
        <is>
          <t>or</t>
        </is>
      </c>
      <c r="B35" t="n">
        <v>1</v>
      </c>
      <c r="C35">
        <f t="array" ref="C35">_xll.FindPos($C$33,A35,B35)</f>
        <v/>
      </c>
      <c r="D35">
        <f>MID($C$33,C35,LEN(A35))</f>
        <v/>
      </c>
    </row>
    <row r="36">
      <c r="A36">
        <f>A35</f>
        <v/>
      </c>
      <c r="B36" t="n">
        <v>2</v>
      </c>
      <c r="C36">
        <f t="array" ref="C36">_xll.FindPos($C$33,A36,B36)</f>
        <v/>
      </c>
      <c r="D36">
        <f>MID($C$33,C36,LEN(A36))</f>
        <v/>
      </c>
    </row>
    <row r="37">
      <c r="A37">
        <f>A35</f>
        <v/>
      </c>
      <c r="B37" t="n">
        <v>3</v>
      </c>
      <c r="C37">
        <f t="array" ref="C37">_xll.FindPos($C$33,A37,B37)</f>
        <v/>
      </c>
      <c r="D37">
        <f>MID($C$33,C37,LEN(A37))</f>
        <v/>
      </c>
    </row>
    <row r="38">
      <c r="A38">
        <f>A35</f>
        <v/>
      </c>
      <c r="B38" t="n">
        <v>99</v>
      </c>
      <c r="C38">
        <f t="array" ref="C38">_xll.FindPos($C$33,A38,B38)</f>
        <v/>
      </c>
      <c r="D38">
        <f>MID($C$33,C38,LEN(A38))</f>
        <v/>
      </c>
    </row>
    <row r="40">
      <c r="A40" s="2" t="inlineStr">
        <is>
          <t>Succeeded?</t>
        </is>
      </c>
      <c r="B40" s="3">
        <f>AND(A34=D34,A35=D35,A36=D36,A37=D37,ISERR(D38))</f>
        <v/>
      </c>
      <c r="C40" s="3" t="n"/>
      <c r="D40" s="3" t="n"/>
      <c r="E40" s="3" t="n"/>
      <c r="F40" s="3" t="n"/>
      <c r="G40" s="3" t="n"/>
      <c r="H40" s="3" t="n"/>
      <c r="I40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</cols>
  <sheetData>
    <row r="1">
      <c r="A1" s="7" t="inlineStr">
        <is>
          <t>Deterministic inputs used by AIML_UDF_Tests</t>
        </is>
      </c>
    </row>
    <row r="2">
      <c r="A2" t="n">
        <v>1</v>
      </c>
      <c r="B2" t="n">
        <v>4</v>
      </c>
      <c r="C2" t="n">
        <v>3</v>
      </c>
      <c r="D2" t="n">
        <v>1</v>
      </c>
      <c r="E2" t="n">
        <v>0</v>
      </c>
      <c r="F2" t="n">
        <v>1</v>
      </c>
      <c r="G2" t="n">
        <v>4</v>
      </c>
      <c r="H2" t="n">
        <v>0</v>
      </c>
      <c r="I2" t="n">
        <v>-2</v>
      </c>
      <c r="J2" t="n">
        <v>0</v>
      </c>
      <c r="K2" t="n">
        <v>3</v>
      </c>
      <c r="L2" t="n">
        <v>1</v>
      </c>
      <c r="M2" t="n">
        <v>10</v>
      </c>
      <c r="N2" t="n">
        <v>0</v>
      </c>
      <c r="O2" t="n">
        <v>0</v>
      </c>
      <c r="P2" t="n">
        <v>1</v>
      </c>
      <c r="Q2" t="n">
        <v>2</v>
      </c>
      <c r="R2" t="inlineStr">
        <is>
          <t>cat</t>
        </is>
      </c>
      <c r="S2" t="inlineStr">
        <is>
          <t>cat</t>
        </is>
      </c>
      <c r="T2" t="n">
        <v>10</v>
      </c>
      <c r="U2" t="n">
        <v>1</v>
      </c>
      <c r="V2" t="n">
        <v>2</v>
      </c>
      <c r="W2" t="n">
        <v>1</v>
      </c>
      <c r="X2" t="n">
        <v>0</v>
      </c>
      <c r="Y2" t="n">
        <v>1</v>
      </c>
      <c r="Z2" t="n">
        <v>1</v>
      </c>
      <c r="AA2" t="n">
        <v>0</v>
      </c>
      <c r="AB2" t="n">
        <v>0</v>
      </c>
      <c r="AC2" t="n">
        <v>0</v>
      </c>
      <c r="AD2" t="n">
        <v>0</v>
      </c>
    </row>
    <row r="3">
      <c r="A3" t="n">
        <v>2</v>
      </c>
      <c r="B3" t="n">
        <v>5</v>
      </c>
      <c r="C3" t="n">
        <v>4</v>
      </c>
      <c r="D3" t="n">
        <v>0</v>
      </c>
      <c r="E3" t="n">
        <v>1</v>
      </c>
      <c r="F3" t="n">
        <v>2</v>
      </c>
      <c r="G3" t="n">
        <v>6</v>
      </c>
      <c r="H3" t="n">
        <v>0</v>
      </c>
      <c r="L3" t="n">
        <v>2</v>
      </c>
      <c r="M3" t="n">
        <v>20</v>
      </c>
      <c r="N3" t="n">
        <v>3</v>
      </c>
      <c r="O3" t="n">
        <v>4</v>
      </c>
      <c r="P3" t="n">
        <v>2</v>
      </c>
      <c r="Q3" t="n">
        <v>4</v>
      </c>
      <c r="R3" t="inlineStr">
        <is>
          <t>dog</t>
        </is>
      </c>
      <c r="S3" t="inlineStr">
        <is>
          <t>cat</t>
        </is>
      </c>
      <c r="T3" t="n">
        <v>30</v>
      </c>
      <c r="U3" t="n">
        <v>3</v>
      </c>
      <c r="V3" t="n">
        <v>4</v>
      </c>
      <c r="W3" t="n">
        <v>0</v>
      </c>
      <c r="X3" t="n">
        <v>2</v>
      </c>
      <c r="AA3" t="n">
        <v>9</v>
      </c>
      <c r="AB3" t="n">
        <v>9</v>
      </c>
      <c r="AC3" t="n">
        <v>10</v>
      </c>
      <c r="AD3" t="n">
        <v>10</v>
      </c>
    </row>
    <row r="4">
      <c r="A4" t="n">
        <v>3</v>
      </c>
      <c r="B4" t="n">
        <v>6</v>
      </c>
      <c r="L4" t="n">
        <v>3</v>
      </c>
      <c r="M4" t="n">
        <v>30</v>
      </c>
      <c r="P4" t="n">
        <v>3</v>
      </c>
      <c r="Q4" t="n">
        <v>6</v>
      </c>
      <c r="R4" t="inlineStr">
        <is>
          <t>cat</t>
        </is>
      </c>
      <c r="S4" t="inlineStr">
        <is>
          <t>dog</t>
        </is>
      </c>
      <c r="T4" t="n">
        <v>20</v>
      </c>
      <c r="AA4" t="n">
        <v>1</v>
      </c>
      <c r="AB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3" customWidth="1" min="5" max="5"/>
    <col width="18" customWidth="1" min="6" max="6"/>
    <col width="18" customWidth="1" min="7" max="7"/>
    <col width="18" customWidth="1" min="8" max="8"/>
    <col width="3" customWidth="1" min="9" max="9"/>
    <col width="14" customWidth="1" min="10" max="10"/>
  </cols>
  <sheetData>
    <row r="1">
      <c r="A1" s="8" t="inlineStr">
        <is>
          <t>Excel-DNA ML/AI UDF Worksheet Test Harness</t>
        </is>
      </c>
    </row>
    <row r="2">
      <c r="A2" s="9" t="inlineStr">
        <is>
          <t>Load dist/CustomExcelDnaUdfs.xll with the other dist files kept beside it, then recalculate. Each PASS cell compares the spill result with its expected matrix.</t>
        </is>
      </c>
    </row>
    <row r="3">
      <c r="A3" s="10" t="inlineStr">
        <is>
          <t>UDF</t>
        </is>
      </c>
      <c r="B3" s="10" t="inlineStr">
        <is>
          <t>Actual spill anchor</t>
        </is>
      </c>
      <c r="F3" s="10" t="inlineStr">
        <is>
          <t>Expected values</t>
        </is>
      </c>
      <c r="J3" s="11">
        <f>COUNTIF(J:J,TRUE)&amp;"/20 passed"</f>
        <v/>
      </c>
    </row>
    <row r="5">
      <c r="A5" s="12" t="inlineStr">
        <is>
          <t>VECTOR_DOT</t>
        </is>
      </c>
      <c r="B5" s="13">
        <f>VECTOR_DOT(AIML_Test_Data!A2:A4,AIML_Test_Data!B2:B4)</f>
        <v/>
      </c>
      <c r="C5" s="14" t="n"/>
      <c r="D5" s="14" t="n"/>
      <c r="E5" s="14" t="n"/>
      <c r="F5" s="15" t="n">
        <v>32</v>
      </c>
      <c r="G5" s="14" t="n"/>
      <c r="H5" s="14" t="n"/>
      <c r="I5" s="14" t="n"/>
      <c r="J5" s="16">
        <f>IFERROR(ABS(B5-F5)&lt;1E-8,FALSE)</f>
        <v/>
      </c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</row>
    <row r="10">
      <c r="A10" s="12" t="inlineStr">
        <is>
          <t>VECTOR_NORM</t>
        </is>
      </c>
      <c r="B10" s="13">
        <f>VECTOR_NORM(AIML_Test_Data!C2:C3)</f>
        <v/>
      </c>
      <c r="C10" s="14" t="n"/>
      <c r="D10" s="14" t="n"/>
      <c r="E10" s="14" t="n"/>
      <c r="F10" s="15" t="n">
        <v>5</v>
      </c>
      <c r="G10" s="14" t="n"/>
      <c r="H10" s="14" t="n"/>
      <c r="I10" s="14" t="n"/>
      <c r="J10" s="16">
        <f>IFERROR(ABS(B10-F10)&lt;1E-8,FALSE)</f>
        <v/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</row>
    <row r="15">
      <c r="A15" s="12" t="inlineStr">
        <is>
          <t>VECTOR_NORMALIZE</t>
        </is>
      </c>
      <c r="B15" s="13">
        <f>VECTOR_NORMALIZE(AIML_Test_Data!C2:C3)</f>
        <v/>
      </c>
      <c r="C15" s="14" t="n"/>
      <c r="D15" s="14" t="n"/>
      <c r="E15" s="14" t="n"/>
      <c r="F15" s="15" t="n">
        <v>0.6</v>
      </c>
      <c r="G15" s="14" t="n"/>
      <c r="H15" s="14" t="n"/>
      <c r="I15" s="14" t="n"/>
      <c r="J15" s="16">
        <f>IFERROR(AND(ROWS(B15#)=2,COLUMNS(B15#)=1,SUM(ABS(B15#-F15:F16))&lt;1E-8),FALSE)</f>
        <v/>
      </c>
    </row>
    <row r="16">
      <c r="A16" s="14" t="n"/>
      <c r="B16" s="14" t="n"/>
      <c r="C16" s="14" t="n"/>
      <c r="D16" s="14" t="n"/>
      <c r="E16" s="14" t="n"/>
      <c r="F16" s="15" t="n">
        <v>0.8</v>
      </c>
      <c r="G16" s="14" t="n"/>
      <c r="H16" s="14" t="n"/>
      <c r="I16" s="14" t="n"/>
      <c r="J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20">
      <c r="A20" s="12" t="inlineStr">
        <is>
          <t>VECTOR_COSINE_SIMILARITY</t>
        </is>
      </c>
      <c r="B20" s="13">
        <f>VECTOR_COSINE_SIMILARITY(AIML_Test_Data!D2:D3,AIML_Test_Data!E2:E3)</f>
        <v/>
      </c>
      <c r="C20" s="14" t="n"/>
      <c r="D20" s="14" t="n"/>
      <c r="E20" s="14" t="n"/>
      <c r="F20" s="15" t="n">
        <v>0</v>
      </c>
      <c r="G20" s="14" t="n"/>
      <c r="H20" s="14" t="n"/>
      <c r="I20" s="14" t="n"/>
      <c r="J20" s="16">
        <f>IFERROR(ABS(B20-F20)&lt;1E-8,FALSE)</f>
        <v/>
      </c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5">
      <c r="A25" s="12" t="inlineStr">
        <is>
          <t>VECTOR_EUCLIDEAN_DISTANCE</t>
        </is>
      </c>
      <c r="B25" s="13">
        <f>VECTOR_EUCLIDEAN_DISTANCE(AIML_Test_Data!F2:F3,AIML_Test_Data!G2:G3)</f>
        <v/>
      </c>
      <c r="C25" s="14" t="n"/>
      <c r="D25" s="14" t="n"/>
      <c r="E25" s="14" t="n"/>
      <c r="F25" s="15" t="n">
        <v>5</v>
      </c>
      <c r="G25" s="14" t="n"/>
      <c r="H25" s="14" t="n"/>
      <c r="I25" s="14" t="n"/>
      <c r="J25" s="16">
        <f>IFERROR(ABS(B25-F25)&lt;1E-8,FALSE)</f>
        <v/>
      </c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30">
      <c r="A30" s="12" t="inlineStr">
        <is>
          <t>VECTOR_MANHATTAN_DISTANCE</t>
        </is>
      </c>
      <c r="B30" s="13">
        <f>VECTOR_MANHATTAN_DISTANCE(AIML_Test_Data!F2:F3,AIML_Test_Data!G2:G3)</f>
        <v/>
      </c>
      <c r="C30" s="14" t="n"/>
      <c r="D30" s="14" t="n"/>
      <c r="E30" s="14" t="n"/>
      <c r="F30" s="15" t="n">
        <v>7</v>
      </c>
      <c r="G30" s="14" t="n"/>
      <c r="H30" s="14" t="n"/>
      <c r="I30" s="14" t="n"/>
      <c r="J30" s="16">
        <f>IFERROR(ABS(B30-F30)&lt;1E-8,FALSE)</f>
        <v/>
      </c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</row>
    <row r="35">
      <c r="A35" s="12" t="inlineStr">
        <is>
          <t>VECTOR_SOFTMAX</t>
        </is>
      </c>
      <c r="B35" s="13">
        <f>VECTOR_SOFTMAX(AIML_Test_Data!H2:H3)</f>
        <v/>
      </c>
      <c r="C35" s="14" t="n"/>
      <c r="D35" s="14" t="n"/>
      <c r="E35" s="14" t="n"/>
      <c r="F35" s="15" t="n">
        <v>0.5</v>
      </c>
      <c r="G35" s="14" t="n"/>
      <c r="H35" s="14" t="n"/>
      <c r="I35" s="14" t="n"/>
      <c r="J35" s="16">
        <f>IFERROR(AND(ROWS(B35#)=2,COLUMNS(B35#)=1,SUM(ABS(B35#-F35:F36))&lt;1E-8),FALSE)</f>
        <v/>
      </c>
    </row>
    <row r="36">
      <c r="A36" s="14" t="n"/>
      <c r="B36" s="14" t="n"/>
      <c r="C36" s="14" t="n"/>
      <c r="D36" s="14" t="n"/>
      <c r="E36" s="14" t="n"/>
      <c r="F36" s="15" t="n">
        <v>0.5</v>
      </c>
      <c r="G36" s="14" t="n"/>
      <c r="H36" s="14" t="n"/>
      <c r="I36" s="14" t="n"/>
      <c r="J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</row>
    <row r="40">
      <c r="A40" s="12" t="inlineStr">
        <is>
          <t>VECTOR_SIGMOID</t>
        </is>
      </c>
      <c r="B40" s="13">
        <f>VECTOR_SIGMOID(AIML_Test_Data!H2:H2)</f>
        <v/>
      </c>
      <c r="C40" s="14" t="n"/>
      <c r="D40" s="14" t="n"/>
      <c r="E40" s="14" t="n"/>
      <c r="F40" s="15" t="n">
        <v>0.5</v>
      </c>
      <c r="G40" s="14" t="n"/>
      <c r="H40" s="14" t="n"/>
      <c r="I40" s="14" t="n"/>
      <c r="J40" s="16">
        <f>IFERROR(ABS(B40-F40)&lt;1E-8,FALSE)</f>
        <v/>
      </c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</row>
    <row r="45">
      <c r="A45" s="12" t="inlineStr">
        <is>
          <t>VECTOR_RELU</t>
        </is>
      </c>
      <c r="B45" s="13">
        <f>VECTOR_RELU(AIML_Test_Data!I2:K2)</f>
        <v/>
      </c>
      <c r="C45" s="14" t="n"/>
      <c r="D45" s="14" t="n"/>
      <c r="E45" s="14" t="n"/>
      <c r="F45" s="15" t="n">
        <v>0</v>
      </c>
      <c r="G45" s="15" t="n">
        <v>0</v>
      </c>
      <c r="H45" s="15" t="n">
        <v>3</v>
      </c>
      <c r="I45" s="14" t="n"/>
      <c r="J45" s="16">
        <f>IFERROR(AND(ROWS(B45#)=1,COLUMNS(B45#)=3,SUM(ABS(B45#-F45:H45))&lt;1E-8),FALSE)</f>
        <v/>
      </c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</row>
    <row r="50">
      <c r="A50" s="12" t="inlineStr">
        <is>
          <t>MATRIX_STANDARDIZE_COLUMNS</t>
        </is>
      </c>
      <c r="B50" s="13">
        <f>MATRIX_STANDARDIZE_COLUMNS(AIML_Test_Data!L2:M4,FALSE)</f>
        <v/>
      </c>
      <c r="C50" s="14" t="n"/>
      <c r="D50" s="14" t="n"/>
      <c r="E50" s="14" t="n"/>
      <c r="F50" s="15" t="n">
        <v>-1.224744871391589</v>
      </c>
      <c r="G50" s="15" t="n">
        <v>-1.224744871391589</v>
      </c>
      <c r="H50" s="14" t="n"/>
      <c r="I50" s="14" t="n"/>
      <c r="J50" s="16">
        <f>IFERROR(AND(ROWS(B50#)=3,COLUMNS(B50#)=2,SUM(ABS(B50#-F50:G52))&lt;1E-8),FALSE)</f>
        <v/>
      </c>
    </row>
    <row r="51">
      <c r="A51" s="14" t="n"/>
      <c r="B51" s="14" t="n"/>
      <c r="C51" s="14" t="n"/>
      <c r="D51" s="14" t="n"/>
      <c r="E51" s="14" t="n"/>
      <c r="F51" s="15" t="n">
        <v>0</v>
      </c>
      <c r="G51" s="15" t="n">
        <v>0</v>
      </c>
      <c r="H51" s="14" t="n"/>
      <c r="I51" s="14" t="n"/>
      <c r="J51" s="14" t="n"/>
    </row>
    <row r="52">
      <c r="A52" s="14" t="n"/>
      <c r="B52" s="14" t="n"/>
      <c r="C52" s="14" t="n"/>
      <c r="D52" s="14" t="n"/>
      <c r="E52" s="14" t="n"/>
      <c r="F52" s="15" t="n">
        <v>1.224744871391589</v>
      </c>
      <c r="G52" s="15" t="n">
        <v>1.224744871391589</v>
      </c>
      <c r="H52" s="14" t="n"/>
      <c r="I52" s="14" t="n"/>
      <c r="J52" s="14" t="n"/>
    </row>
    <row r="55">
      <c r="A55" s="12" t="inlineStr">
        <is>
          <t>MATRIX_MINMAX_SCALE_COLUMNS</t>
        </is>
      </c>
      <c r="B55" s="13">
        <f>MATRIX_MINMAX_SCALE_COLUMNS(AIML_Test_Data!L2:M4)</f>
        <v/>
      </c>
      <c r="C55" s="14" t="n"/>
      <c r="D55" s="14" t="n"/>
      <c r="E55" s="14" t="n"/>
      <c r="F55" s="15" t="n">
        <v>0</v>
      </c>
      <c r="G55" s="15" t="n">
        <v>0</v>
      </c>
      <c r="H55" s="14" t="n"/>
      <c r="I55" s="14" t="n"/>
      <c r="J55" s="16">
        <f>IFERROR(AND(ROWS(B55#)=3,COLUMNS(B55#)=2,SUM(ABS(B55#-F55:G57))&lt;1E-8),FALSE)</f>
        <v/>
      </c>
    </row>
    <row r="56">
      <c r="A56" s="14" t="n"/>
      <c r="B56" s="14" t="n"/>
      <c r="C56" s="14" t="n"/>
      <c r="D56" s="14" t="n"/>
      <c r="E56" s="14" t="n"/>
      <c r="F56" s="15" t="n">
        <v>0.5</v>
      </c>
      <c r="G56" s="15" t="n">
        <v>0.5</v>
      </c>
      <c r="H56" s="14" t="n"/>
      <c r="I56" s="14" t="n"/>
      <c r="J56" s="14" t="n"/>
    </row>
    <row r="57">
      <c r="A57" s="14" t="n"/>
      <c r="B57" s="14" t="n"/>
      <c r="C57" s="14" t="n"/>
      <c r="D57" s="14" t="n"/>
      <c r="E57" s="14" t="n"/>
      <c r="F57" s="15" t="n">
        <v>1</v>
      </c>
      <c r="G57" s="15" t="n">
        <v>1</v>
      </c>
      <c r="H57" s="14" t="n"/>
      <c r="I57" s="14" t="n"/>
      <c r="J57" s="14" t="n"/>
    </row>
    <row r="60">
      <c r="A60" s="12" t="inlineStr">
        <is>
          <t>MATRIX_PAIRWISE_DISTANCE</t>
        </is>
      </c>
      <c r="B60" s="13">
        <f>MATRIX_PAIRWISE_DISTANCE(AIML_Test_Data!N2:O3,"euclidean")</f>
        <v/>
      </c>
      <c r="C60" s="14" t="n"/>
      <c r="D60" s="14" t="n"/>
      <c r="E60" s="14" t="n"/>
      <c r="F60" s="15" t="n">
        <v>0</v>
      </c>
      <c r="G60" s="15" t="n">
        <v>5</v>
      </c>
      <c r="H60" s="14" t="n"/>
      <c r="I60" s="14" t="n"/>
      <c r="J60" s="16">
        <f>IFERROR(AND(ROWS(B60#)=2,COLUMNS(B60#)=2,SUM(ABS(B60#-F60:G61))&lt;1E-8),FALSE)</f>
        <v/>
      </c>
    </row>
    <row r="61">
      <c r="A61" s="14" t="n"/>
      <c r="B61" s="14" t="n"/>
      <c r="C61" s="14" t="n"/>
      <c r="D61" s="14" t="n"/>
      <c r="E61" s="14" t="n"/>
      <c r="F61" s="15" t="n">
        <v>5</v>
      </c>
      <c r="G61" s="15" t="n">
        <v>0</v>
      </c>
      <c r="H61" s="14" t="n"/>
      <c r="I61" s="14" t="n"/>
      <c r="J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</row>
    <row r="65">
      <c r="A65" s="12" t="inlineStr">
        <is>
          <t>MATRIX_COVARIANCE</t>
        </is>
      </c>
      <c r="B65" s="13">
        <f>MATRIX_COVARIANCE(AIML_Test_Data!P2:Q4,TRUE)</f>
        <v/>
      </c>
      <c r="C65" s="14" t="n"/>
      <c r="D65" s="14" t="n"/>
      <c r="E65" s="14" t="n"/>
      <c r="F65" s="15" t="n">
        <v>1</v>
      </c>
      <c r="G65" s="15" t="n">
        <v>2</v>
      </c>
      <c r="H65" s="14" t="n"/>
      <c r="I65" s="14" t="n"/>
      <c r="J65" s="16">
        <f>IFERROR(AND(ROWS(B65#)=2,COLUMNS(B65#)=2,SUM(ABS(B65#-F65:G66))&lt;1E-8),FALSE)</f>
        <v/>
      </c>
    </row>
    <row r="66">
      <c r="A66" s="14" t="n"/>
      <c r="B66" s="14" t="n"/>
      <c r="C66" s="14" t="n"/>
      <c r="D66" s="14" t="n"/>
      <c r="E66" s="14" t="n"/>
      <c r="F66" s="15" t="n">
        <v>2</v>
      </c>
      <c r="G66" s="15" t="n">
        <v>4</v>
      </c>
      <c r="H66" s="14" t="n"/>
      <c r="I66" s="14" t="n"/>
      <c r="J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</row>
    <row r="70">
      <c r="A70" s="12" t="inlineStr">
        <is>
          <t>MATRIX_ONE_HOT</t>
        </is>
      </c>
      <c r="B70" s="13">
        <f>MATRIX_ONE_HOT(AIML_Test_Data!R2:R4)</f>
        <v/>
      </c>
      <c r="C70" s="14" t="n"/>
      <c r="D70" s="14" t="n"/>
      <c r="E70" s="14" t="n"/>
      <c r="F70" s="15" t="n">
        <v>1</v>
      </c>
      <c r="G70" s="15" t="n">
        <v>0</v>
      </c>
      <c r="H70" s="14" t="n"/>
      <c r="I70" s="14" t="n"/>
      <c r="J70" s="16">
        <f>IFERROR(AND(ROWS(B70#)=3,COLUMNS(B70#)=2,SUM(ABS(B70#-F70:G72))&lt;1E-8),FALSE)</f>
        <v/>
      </c>
    </row>
    <row r="71">
      <c r="A71" s="14" t="n"/>
      <c r="B71" s="14" t="n"/>
      <c r="C71" s="14" t="n"/>
      <c r="D71" s="14" t="n"/>
      <c r="E71" s="14" t="n"/>
      <c r="F71" s="15" t="n">
        <v>0</v>
      </c>
      <c r="G71" s="15" t="n">
        <v>1</v>
      </c>
      <c r="H71" s="14" t="n"/>
      <c r="I71" s="14" t="n"/>
      <c r="J71" s="14" t="n"/>
    </row>
    <row r="72">
      <c r="A72" s="14" t="n"/>
      <c r="B72" s="14" t="n"/>
      <c r="C72" s="14" t="n"/>
      <c r="D72" s="14" t="n"/>
      <c r="E72" s="14" t="n"/>
      <c r="F72" s="15" t="n">
        <v>1</v>
      </c>
      <c r="G72" s="15" t="n">
        <v>0</v>
      </c>
      <c r="H72" s="14" t="n"/>
      <c r="I72" s="14" t="n"/>
      <c r="J72" s="14" t="n"/>
    </row>
    <row r="75">
      <c r="A75" s="12" t="inlineStr">
        <is>
          <t>MATRIX_CONFUSION</t>
        </is>
      </c>
      <c r="B75" s="13">
        <f>MATRIX_CONFUSION(AIML_Test_Data!R2:R4,AIML_Test_Data!S2:S4)</f>
        <v/>
      </c>
      <c r="C75" s="14" t="n"/>
      <c r="D75" s="14" t="n"/>
      <c r="E75" s="14" t="n"/>
      <c r="F75" s="15" t="n">
        <v>1</v>
      </c>
      <c r="G75" s="15" t="n">
        <v>1</v>
      </c>
      <c r="H75" s="14" t="n"/>
      <c r="I75" s="14" t="n"/>
      <c r="J75" s="16">
        <f>IFERROR(AND(ROWS(B75#)=2,COLUMNS(B75#)=2,SUM(ABS(B75#-F75:G76))&lt;1E-8),FALSE)</f>
        <v/>
      </c>
    </row>
    <row r="76">
      <c r="A76" s="14" t="n"/>
      <c r="B76" s="14" t="n"/>
      <c r="C76" s="14" t="n"/>
      <c r="D76" s="14" t="n"/>
      <c r="E76" s="14" t="n"/>
      <c r="F76" s="15" t="n">
        <v>1</v>
      </c>
      <c r="G76" s="15" t="n">
        <v>0</v>
      </c>
      <c r="H76" s="14" t="n"/>
      <c r="I76" s="14" t="n"/>
      <c r="J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80">
      <c r="A80" s="12" t="inlineStr">
        <is>
          <t>VECTOR_LOG_SOFTMAX</t>
        </is>
      </c>
      <c r="B80" s="13">
        <f>VECTOR_LOG_SOFTMAX(AIML_Test_Data!H2:H3)</f>
        <v/>
      </c>
      <c r="C80" s="14" t="n"/>
      <c r="D80" s="14" t="n"/>
      <c r="E80" s="14" t="n"/>
      <c r="F80" s="15" t="n">
        <v>-0.6931471805599453</v>
      </c>
      <c r="G80" s="14" t="n"/>
      <c r="H80" s="14" t="n"/>
      <c r="I80" s="14" t="n"/>
      <c r="J80" s="16">
        <f>IFERROR(AND(ROWS(B80#)=2,COLUMNS(B80#)=1,SUM(ABS(B80#-F80:F81))&lt;1E-8),FALSE)</f>
        <v/>
      </c>
    </row>
    <row r="81">
      <c r="A81" s="14" t="n"/>
      <c r="B81" s="14" t="n"/>
      <c r="C81" s="14" t="n"/>
      <c r="D81" s="14" t="n"/>
      <c r="E81" s="14" t="n"/>
      <c r="F81" s="15" t="n">
        <v>-0.6931471805599453</v>
      </c>
      <c r="G81" s="14" t="n"/>
      <c r="H81" s="14" t="n"/>
      <c r="I81" s="14" t="n"/>
      <c r="J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</row>
    <row r="85">
      <c r="A85" s="12" t="inlineStr">
        <is>
          <t>VECTOR_TOP_K</t>
        </is>
      </c>
      <c r="B85" s="13">
        <f>VECTOR_TOP_K(AIML_Test_Data!T2:T4,2,TRUE)</f>
        <v/>
      </c>
      <c r="C85" s="14" t="n"/>
      <c r="D85" s="14" t="n"/>
      <c r="E85" s="14" t="n"/>
      <c r="F85" s="15" t="n">
        <v>2</v>
      </c>
      <c r="G85" s="15" t="n">
        <v>30</v>
      </c>
      <c r="H85" s="14" t="n"/>
      <c r="I85" s="14" t="n"/>
      <c r="J85" s="16">
        <f>IFERROR(AND(ROWS(B85#)=2,COLUMNS(B85#)=2,SUM(ABS(B85#-F85:G86))&lt;1E-8),FALSE)</f>
        <v/>
      </c>
    </row>
    <row r="86">
      <c r="A86" s="14" t="n"/>
      <c r="B86" s="14" t="n"/>
      <c r="C86" s="14" t="n"/>
      <c r="D86" s="14" t="n"/>
      <c r="E86" s="14" t="n"/>
      <c r="F86" s="15" t="n">
        <v>3</v>
      </c>
      <c r="G86" s="15" t="n">
        <v>20</v>
      </c>
      <c r="H86" s="14" t="n"/>
      <c r="I86" s="14" t="n"/>
      <c r="J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</row>
    <row r="90">
      <c r="A90" s="12" t="inlineStr">
        <is>
          <t>MATRIX_LINEAR_PREDICT</t>
        </is>
      </c>
      <c r="B90" s="13">
        <f>MATRIX_LINEAR_PREDICT(AIML_Test_Data!U2:V3,AIML_Test_Data!W2:X3,AIML_Test_Data!Y2:Z2)</f>
        <v/>
      </c>
      <c r="C90" s="14" t="n"/>
      <c r="D90" s="14" t="n"/>
      <c r="E90" s="14" t="n"/>
      <c r="F90" s="15" t="n">
        <v>2</v>
      </c>
      <c r="G90" s="15" t="n">
        <v>5</v>
      </c>
      <c r="H90" s="14" t="n"/>
      <c r="I90" s="14" t="n"/>
      <c r="J90" s="16">
        <f>IFERROR(AND(ROWS(B90#)=2,COLUMNS(B90#)=2,SUM(ABS(B90#-F90:G91))&lt;1E-8),FALSE)</f>
        <v/>
      </c>
    </row>
    <row r="91">
      <c r="A91" s="14" t="n"/>
      <c r="B91" s="14" t="n"/>
      <c r="C91" s="14" t="n"/>
      <c r="D91" s="14" t="n"/>
      <c r="E91" s="14" t="n"/>
      <c r="F91" s="15" t="n">
        <v>4</v>
      </c>
      <c r="G91" s="15" t="n">
        <v>9</v>
      </c>
      <c r="H91" s="14" t="n"/>
      <c r="I91" s="14" t="n"/>
      <c r="J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</row>
    <row r="95">
      <c r="A95" s="12" t="inlineStr">
        <is>
          <t>MATRIX_CORRELATION</t>
        </is>
      </c>
      <c r="B95" s="13">
        <f>MATRIX_CORRELATION(AIML_Test_Data!P2:Q4)</f>
        <v/>
      </c>
      <c r="C95" s="14" t="n"/>
      <c r="D95" s="14" t="n"/>
      <c r="E95" s="14" t="n"/>
      <c r="F95" s="15" t="n">
        <v>1</v>
      </c>
      <c r="G95" s="15" t="n">
        <v>1</v>
      </c>
      <c r="H95" s="14" t="n"/>
      <c r="I95" s="14" t="n"/>
      <c r="J95" s="16">
        <f>IFERROR(AND(ROWS(B95#)=2,COLUMNS(B95#)=2,SUM(ABS(B95#-F95:G96))&lt;1E-8),FALSE)</f>
        <v/>
      </c>
    </row>
    <row r="96">
      <c r="A96" s="14" t="n"/>
      <c r="B96" s="14" t="n"/>
      <c r="C96" s="14" t="n"/>
      <c r="D96" s="14" t="n"/>
      <c r="E96" s="14" t="n"/>
      <c r="F96" s="15" t="n">
        <v>1</v>
      </c>
      <c r="G96" s="15" t="n">
        <v>1</v>
      </c>
      <c r="H96" s="14" t="n"/>
      <c r="I96" s="14" t="n"/>
      <c r="J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</row>
    <row r="100">
      <c r="A100" s="12" t="inlineStr">
        <is>
          <t>MATRIX_KMEANS_ASSIGN</t>
        </is>
      </c>
      <c r="B100" s="13">
        <f>MATRIX_KMEANS_ASSIGN(AIML_Test_Data!AA2:AB4,AIML_Test_Data!AC2:AD3,"euclidean")</f>
        <v/>
      </c>
      <c r="C100" s="14" t="n"/>
      <c r="D100" s="14" t="n"/>
      <c r="E100" s="14" t="n"/>
      <c r="F100" s="15" t="n">
        <v>1</v>
      </c>
      <c r="G100" s="15" t="n">
        <v>0</v>
      </c>
      <c r="H100" s="14" t="n"/>
      <c r="I100" s="14" t="n"/>
      <c r="J100" s="16">
        <f>IFERROR(AND(ROWS(B100#)=3,COLUMNS(B100#)=2,SUM(ABS(B100#-F100:G102))&lt;1E-8),FALSE)</f>
        <v/>
      </c>
    </row>
    <row r="101">
      <c r="A101" s="14" t="n"/>
      <c r="B101" s="14" t="n"/>
      <c r="C101" s="14" t="n"/>
      <c r="D101" s="14" t="n"/>
      <c r="E101" s="14" t="n"/>
      <c r="F101" s="15" t="n">
        <v>2</v>
      </c>
      <c r="G101" s="15" t="n">
        <v>1.414213562373095</v>
      </c>
      <c r="H101" s="14" t="n"/>
      <c r="I101" s="14" t="n"/>
      <c r="J101" s="14" t="n"/>
    </row>
    <row r="102">
      <c r="A102" s="14" t="n"/>
      <c r="B102" s="14" t="n"/>
      <c r="C102" s="14" t="n"/>
      <c r="D102" s="14" t="n"/>
      <c r="E102" s="14" t="n"/>
      <c r="F102" s="15" t="n">
        <v>1</v>
      </c>
      <c r="G102" s="15" t="n">
        <v>1.414213562373095</v>
      </c>
      <c r="H102" s="14" t="n"/>
      <c r="I102" s="14" t="n"/>
      <c r="J102" s="14" t="n"/>
    </row>
  </sheetData>
  <mergeCells count="2">
    <mergeCell ref="A1:J1"/>
    <mergeCell ref="A2:J2"/>
  </mergeCells>
  <conditionalFormatting sqref="J5:J105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t="inlineStr">
        <is>
          <t>Setting</t>
        </is>
      </c>
      <c r="B1" t="inlineStr">
        <is>
          <t>Value</t>
        </is>
      </c>
    </row>
    <row r="2">
      <c r="A2" t="inlineStr">
        <is>
          <t>Provider</t>
        </is>
      </c>
      <c r="B2" t="inlineStr">
        <is>
          <t>ollama</t>
        </is>
      </c>
    </row>
    <row r="3">
      <c r="A3" t="inlineStr">
        <is>
          <t>Base URL</t>
        </is>
      </c>
      <c r="B3" t="inlineStr">
        <is>
          <t>http://localhost:11434</t>
        </is>
      </c>
    </row>
    <row r="4">
      <c r="A4" t="inlineStr">
        <is>
          <t>Chat model</t>
        </is>
      </c>
      <c r="B4" t="inlineStr">
        <is>
          <t>llama3.2</t>
        </is>
      </c>
    </row>
    <row r="5">
      <c r="A5" t="inlineStr">
        <is>
          <t>Vision model</t>
        </is>
      </c>
      <c r="B5" t="inlineStr">
        <is>
          <t>llava</t>
        </is>
      </c>
    </row>
    <row r="6">
      <c r="A6" t="inlineStr">
        <is>
          <t>Embedding model</t>
        </is>
      </c>
      <c r="B6" t="inlineStr">
        <is>
          <t>nomic-embed-text</t>
        </is>
      </c>
    </row>
    <row r="7">
      <c r="A7" t="inlineStr">
        <is>
          <t>API key</t>
        </is>
      </c>
      <c r="B7" t="inlineStr"/>
    </row>
    <row r="8">
      <c r="A8" t="inlineStr">
        <is>
          <t>Sample JSON</t>
        </is>
      </c>
      <c r="B8" t="inlineStr">
        <is>
          <t>{"choices":[{"message":{"content":"hello"}}]}</t>
        </is>
      </c>
    </row>
    <row r="9">
      <c r="A9" t="inlineStr">
        <is>
          <t>Tiny PNG Base64</t>
        </is>
      </c>
      <c r="B9" t="inlineStr">
        <is>
          <t>iVBORw0KGgoAAAANSUhEUgAAAAEAAAABCAQAAAC1HAwCAAAAC0lEQVR42mP8/x8AAusB9Y9Z8xkAAAAASUVORK5CYII=</t>
        </is>
      </c>
    </row>
    <row r="12">
      <c r="A12" t="inlineStr">
        <is>
          <t>Batch text inputs</t>
        </is>
      </c>
    </row>
    <row r="13">
      <c r="A13" t="inlineStr">
        <is>
          <t>machine learning in spreadsheets</t>
        </is>
      </c>
    </row>
    <row r="14">
      <c r="A14" t="inlineStr">
        <is>
          <t>semantic search over workbook notes</t>
        </is>
      </c>
    </row>
    <row r="15">
      <c r="A15" t="inlineStr">
        <is>
          <t>cluster customer feedback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62" customWidth="1" min="2" max="2"/>
    <col width="3" customWidth="1" min="3" max="3"/>
    <col width="3" customWidth="1" min="4" max="4"/>
    <col width="3" customWidth="1" min="5" max="5"/>
    <col width="42" customWidth="1" min="6" max="6"/>
    <col width="3" customWidth="1" min="7" max="7"/>
    <col width="3" customWidth="1" min="8" max="8"/>
    <col width="3" customWidth="1" min="9" max="9"/>
    <col width="16" customWidth="1" min="10" max="10"/>
  </cols>
  <sheetData>
    <row r="1">
      <c r="A1" s="17" t="inlineStr">
        <is>
          <t>Excel-DNA OpenAI / Ollama UDF Worksheet Harness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 ht="42" customHeight="1">
      <c r="A2" s="18" t="inlineStr">
        <is>
          <t>Configure LLM_Test_Data first. Network tests show PASS after a valid endpoint/model responds; LLM_JSON_VALUE is deterministic and works offline. Async calls may briefly display #GETTING_DATA.</t>
        </is>
      </c>
    </row>
    <row r="3">
      <c r="A3" s="19" t="inlineStr">
        <is>
          <t>UDF</t>
        </is>
      </c>
      <c r="B3" s="19" t="inlineStr">
        <is>
          <t>Actual formula / spill anchor</t>
        </is>
      </c>
      <c r="C3" s="19" t="n"/>
      <c r="D3" s="19" t="n"/>
      <c r="E3" s="19" t="n"/>
      <c r="F3" s="19" t="inlineStr">
        <is>
          <t>Expected / validation note</t>
        </is>
      </c>
      <c r="G3" s="19" t="n"/>
      <c r="H3" s="19" t="n"/>
      <c r="I3" s="19" t="n"/>
      <c r="J3" s="19">
        <f>COUNTIF(J:J,"PASS")&amp;"/6 passed"</f>
        <v/>
      </c>
    </row>
    <row r="5">
      <c r="A5" s="20" t="inlineStr">
        <is>
          <t>LLM_CHAT</t>
        </is>
      </c>
      <c r="B5" s="21">
        <f>LLM_CHAT("Reply with exactly OK",LLM_Test_Data!B4,LLM_Test_Data!B3,LLM_Test_Data!B7,"Return only OK",0,8,LLM_Test_Data!B2)</f>
        <v/>
      </c>
      <c r="C5" s="22" t="n"/>
      <c r="D5" s="22" t="n"/>
      <c r="E5" s="22" t="n"/>
      <c r="F5" s="23" t="inlineStr">
        <is>
          <t>Any nonempty response without LLM_ERROR</t>
        </is>
      </c>
      <c r="G5" s="22" t="n"/>
      <c r="H5" s="22" t="n"/>
      <c r="I5" s="22" t="n"/>
      <c r="J5" s="24">
        <f>IFERROR(IF(AND(B5&lt;&gt;"",LEFT(B5,10)&lt;&gt;"LLM_ERROR:"),"PASS","FAIL"),"WAIT")</f>
        <v/>
      </c>
    </row>
    <row r="10">
      <c r="A10" s="20" t="inlineStr">
        <is>
          <t>LLM_CHAT_IMAGE</t>
        </is>
      </c>
      <c r="B10" s="21">
        <f>LLM_CHAT_IMAGE("Describe this one-pixel image briefly",LLM_Test_Data!B9,LLM_Test_Data!B5,"image/png",LLM_Test_Data!B3,LLM_Test_Data!B7,"Be concise",0,24,LLM_Test_Data!B2)</f>
        <v/>
      </c>
      <c r="C10" s="22" t="n"/>
      <c r="D10" s="22" t="n"/>
      <c r="E10" s="22" t="n"/>
      <c r="F10" s="23" t="inlineStr">
        <is>
          <t>Any nonempty vision response without LLM_ERROR</t>
        </is>
      </c>
      <c r="G10" s="22" t="n"/>
      <c r="H10" s="22" t="n"/>
      <c r="I10" s="22" t="n"/>
      <c r="J10" s="24">
        <f>IFERROR(IF(AND(B10&lt;&gt;"",LEFT(B10,10)&lt;&gt;"LLM_ERROR:"),"PASS","FAIL"),"WAIT")</f>
        <v/>
      </c>
    </row>
    <row r="15">
      <c r="A15" s="20" t="inlineStr">
        <is>
          <t>LLM_EMBED</t>
        </is>
      </c>
      <c r="B15" s="21">
        <f>LLM_EMBED("spreadsheet",LLM_Test_Data!B6,LLM_Test_Data!B3,LLM_Test_Data!B7,LLM_Test_Data!B2)</f>
        <v/>
      </c>
      <c r="C15" s="22" t="n"/>
      <c r="D15" s="22" t="n"/>
      <c r="E15" s="22" t="n"/>
      <c r="F15" s="23" t="inlineStr">
        <is>
          <t>Numeric vertical spill vector</t>
        </is>
      </c>
      <c r="G15" s="22" t="n"/>
      <c r="H15" s="22" t="n"/>
      <c r="I15" s="22" t="n"/>
      <c r="J15" s="24">
        <f>IFERROR(IF(AND(ROWS(B15#)&gt;0,COLUMNS(B15#)=1,ISNUMBER(INDEX(B15#,1,1))),"PASS","FAIL"),"WAIT")</f>
        <v/>
      </c>
    </row>
    <row r="20">
      <c r="A20" s="20" t="inlineStr">
        <is>
          <t>LLM_EMBED_BATCH</t>
        </is>
      </c>
      <c r="B20" s="21">
        <f>LLM_EMBED_BATCH(LLM_Test_Data!A13:A15,LLM_Test_Data!B6,LLM_Test_Data!B3,LLM_Test_Data!B7,LLM_Test_Data!B2)</f>
        <v/>
      </c>
      <c r="C20" s="22" t="n"/>
      <c r="D20" s="22" t="n"/>
      <c r="E20" s="22" t="n"/>
      <c r="F20" s="23" t="inlineStr">
        <is>
          <t>Three embedding rows; one per input</t>
        </is>
      </c>
      <c r="G20" s="22" t="n"/>
      <c r="H20" s="22" t="n"/>
      <c r="I20" s="22" t="n"/>
      <c r="J20" s="24">
        <f>IFERROR(IF(AND(ROWS(B20#)=3,COLUMNS(B20#)&gt;0,ISNUMBER(INDEX(B20#,1,1))),"PASS","FAIL"),"WAIT")</f>
        <v/>
      </c>
    </row>
    <row r="25">
      <c r="A25" s="20" t="inlineStr">
        <is>
          <t>LLM_LIST_MODELS</t>
        </is>
      </c>
      <c r="B25" s="21">
        <f>LLM_LIST_MODELS(LLM_Test_Data!B3,LLM_Test_Data!B7,LLM_Test_Data!B2)</f>
        <v/>
      </c>
      <c r="C25" s="22" t="n"/>
      <c r="D25" s="22" t="n"/>
      <c r="E25" s="22" t="n"/>
      <c r="F25" s="23" t="inlineStr">
        <is>
          <t>At least one model identifier</t>
        </is>
      </c>
      <c r="G25" s="22" t="n"/>
      <c r="H25" s="22" t="n"/>
      <c r="I25" s="22" t="n"/>
      <c r="J25" s="24">
        <f>IFERROR(IF(AND(ROWS(B25#)&gt;0,B25&lt;&gt;""),"PASS","FAIL"),"WAIT")</f>
        <v/>
      </c>
    </row>
    <row r="30">
      <c r="A30" s="20" t="inlineStr">
        <is>
          <t>LLM_JSON_VALUE</t>
        </is>
      </c>
      <c r="B30" s="21">
        <f>LLM_JSON_VALUE(LLM_Test_Data!B8,"choices[0].message.content")</f>
        <v/>
      </c>
      <c r="C30" s="22" t="n"/>
      <c r="D30" s="22" t="n"/>
      <c r="E30" s="22" t="n"/>
      <c r="F30" s="23" t="inlineStr">
        <is>
          <t>hello</t>
        </is>
      </c>
      <c r="G30" s="22" t="n"/>
      <c r="H30" s="22" t="n"/>
      <c r="I30" s="22" t="n"/>
      <c r="J30" s="24">
        <f>IFERROR(IF(B30=F30,"PASS","FAIL"),"FAIL")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npepin</dc:creator>
  <dcterms:created xsi:type="dcterms:W3CDTF">2025-05-23T22:20:05Z</dcterms:created>
  <dcterms:modified xsi:type="dcterms:W3CDTF">2026-07-24T00:45:51Z</dcterms:modified>
  <cp:lastModifiedBy>npepin</cp:lastModifiedBy>
</cp:coreProperties>
</file>