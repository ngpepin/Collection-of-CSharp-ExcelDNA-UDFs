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ST\npepin\Projects\Collection-of-CSharp-ExcelDNA-UDFs\"/>
    </mc:Choice>
  </mc:AlternateContent>
  <xr:revisionPtr revIDLastSave="0" documentId="13_ncr:1_{67AFBD78-EF8C-46AA-9338-45B940F99129}" xr6:coauthVersionLast="47" xr6:coauthVersionMax="47" xr10:uidLastSave="{00000000-0000-0000-0000-000000000000}"/>
  <bookViews>
    <workbookView xWindow="-93" yWindow="-93" windowWidth="25786" windowHeight="14066" activeTab="3" xr2:uid="{00000000-000D-0000-FFFF-FFFF00000000}"/>
  </bookViews>
  <sheets>
    <sheet name="MISC" sheetId="1" r:id="rId1"/>
    <sheet name="AIML_UDF_Tests" sheetId="3" r:id="rId2"/>
    <sheet name="AIML_Test_Data" sheetId="2" r:id="rId3"/>
    <sheet name="LLM_UDF_Tests" sheetId="5" r:id="rId4"/>
    <sheet name="LLM_Test_Data" sheetId="4" r:id="rId5"/>
  </sheets>
  <calcPr calcId="191029" concurrentManualCount="48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5" l="1" a="1"/>
  <c r="K36" i="5" s="1"/>
  <c r="C22" i="5" a="1"/>
  <c r="C18" i="5" a="1"/>
  <c r="B15" i="5" a="1"/>
  <c r="B10" i="5" a="1"/>
  <c r="K10" i="5" s="1"/>
  <c r="B5" i="5" a="1"/>
  <c r="K5" i="5" s="1"/>
  <c r="B100" i="3" a="1"/>
  <c r="B95" i="3" a="1"/>
  <c r="B90" i="3" a="1"/>
  <c r="B85" i="3" a="1"/>
  <c r="B80" i="3" a="1"/>
  <c r="B75" i="3" a="1"/>
  <c r="B70" i="3" a="1"/>
  <c r="B65" i="3" a="1"/>
  <c r="B60" i="3" a="1"/>
  <c r="B55" i="3" a="1"/>
  <c r="B50" i="3" a="1"/>
  <c r="B40" i="3" a="1"/>
  <c r="J40" i="3" s="1"/>
  <c r="B35" i="3" a="1"/>
  <c r="B30" i="3" a="1"/>
  <c r="J30" i="3" s="1"/>
  <c r="B25" i="3" a="1"/>
  <c r="J25" i="3" s="1"/>
  <c r="B20" i="3" a="1"/>
  <c r="J20" i="3" s="1"/>
  <c r="B15" i="3" a="1"/>
  <c r="B10" i="3" a="1"/>
  <c r="J10" i="3" s="1"/>
  <c r="B5" i="3" a="1"/>
  <c r="J5" i="3" s="1"/>
  <c r="C38" i="1" a="1"/>
  <c r="D38" i="1" s="1"/>
  <c r="B45" i="3"/>
  <c r="A38" i="1"/>
  <c r="C37" i="1" a="1"/>
  <c r="C37" i="1" s="1"/>
  <c r="D37" i="1" s="1"/>
  <c r="A37" i="1"/>
  <c r="C36" i="1" a="1"/>
  <c r="C36" i="1" s="1"/>
  <c r="D36" i="1" s="1"/>
  <c r="A36" i="1"/>
  <c r="C35" i="1" a="1"/>
  <c r="C35" i="1" s="1"/>
  <c r="D35" i="1" s="1"/>
  <c r="C34" i="1" a="1"/>
  <c r="C34" i="1" s="1"/>
  <c r="D34" i="1" s="1"/>
  <c r="D28" i="1" a="1"/>
  <c r="D26" i="1" a="1"/>
  <c r="B23" i="1" a="1"/>
  <c r="B23" i="1" s="1"/>
  <c r="B22" i="1" a="1"/>
  <c r="B22" i="1" s="1"/>
  <c r="B21" i="1" a="1"/>
  <c r="B21" i="1" s="1"/>
  <c r="A15" i="1" a="1"/>
  <c r="C12" i="1" a="1"/>
  <c r="C12" i="1" s="1"/>
  <c r="D8" i="1" a="1"/>
  <c r="D8" i="1" s="1"/>
  <c r="D7" i="1" a="1"/>
  <c r="D7" i="1" s="1"/>
  <c r="D6" i="1" a="1"/>
  <c r="D6" i="1" s="1"/>
  <c r="D5" i="1" a="1"/>
  <c r="D5" i="1" s="1"/>
  <c r="B9" i="1" s="1"/>
  <c r="B24" i="1" l="1"/>
  <c r="I28" i="1"/>
  <c r="H28" i="1"/>
  <c r="G28" i="1"/>
  <c r="F28" i="1"/>
  <c r="E28" i="1"/>
  <c r="D28" i="1"/>
  <c r="H26" i="1"/>
  <c r="G26" i="1"/>
  <c r="F26" i="1"/>
  <c r="E26" i="1"/>
  <c r="D26" i="1"/>
  <c r="J26" i="1"/>
  <c r="I26" i="1"/>
  <c r="B17" i="1"/>
  <c r="A17" i="1"/>
  <c r="A15" i="1"/>
  <c r="B16" i="1"/>
  <c r="B15" i="1"/>
  <c r="B18" i="1" s="1"/>
  <c r="A16" i="1"/>
  <c r="B40" i="1"/>
  <c r="C29" i="1" l="1"/>
  <c r="C27" i="1"/>
  <c r="B31" i="1" l="1"/>
  <c r="K3" i="5"/>
  <c r="J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<sst xmlns="http://schemas.openxmlformats.org/spreadsheetml/2006/main" count="108" uniqueCount="89">
  <si>
    <t>HashArray UDF</t>
  </si>
  <si>
    <t>Hello</t>
  </si>
  <si>
    <t>World</t>
  </si>
  <si>
    <t>Word</t>
  </si>
  <si>
    <t>Succeeded?</t>
  </si>
  <si>
    <t>SetThreads</t>
  </si>
  <si>
    <t>Desired Threads:</t>
  </si>
  <si>
    <t>GetThreads</t>
  </si>
  <si>
    <t xml:space="preserve">IsMemberOf </t>
  </si>
  <si>
    <t>Goodbye</t>
  </si>
  <si>
    <t>Mars</t>
  </si>
  <si>
    <t>Test 1</t>
  </si>
  <si>
    <t>Test 2</t>
  </si>
  <si>
    <t>Pluto</t>
  </si>
  <si>
    <t>Test 3</t>
  </si>
  <si>
    <t>Jupiter</t>
  </si>
  <si>
    <t>TrueSplit</t>
  </si>
  <si>
    <t>A,B,CC,DDDD,EFG,,45</t>
  </si>
  <si>
    <t>GF^jhgdh^dddgc^ddddd^^&amp;</t>
  </si>
  <si>
    <t xml:space="preserve">FindPos </t>
  </si>
  <si>
    <t>String</t>
  </si>
  <si>
    <t xml:space="preserve">Lorem ipsum dolor sit amet, consectetur adipiscing elit, sed do eiusmod tempor incididunt ut labore et dolore magna aliqua. </t>
  </si>
  <si>
    <t>amet</t>
  </si>
  <si>
    <t>or</t>
  </si>
  <si>
    <t>Deterministic inputs used by AIML_UDF_Tests</t>
  </si>
  <si>
    <t>cat</t>
  </si>
  <si>
    <t>dog</t>
  </si>
  <si>
    <t>Excel-DNA ML/AI UDF Worksheet Test Harness</t>
  </si>
  <si>
    <t>Load dist/CustomExcelDnaUdfs.xll with the other dist files kept beside it, then recalculate. Each PASS cell compares the spill result with its expected matrix.</t>
  </si>
  <si>
    <t>UDF</t>
  </si>
  <si>
    <t>Actual spill anchor</t>
  </si>
  <si>
    <t>Expected values</t>
  </si>
  <si>
    <t>VECTOR_DOT</t>
  </si>
  <si>
    <t>VECTOR_NORM</t>
  </si>
  <si>
    <t>VECTOR_NORMALIZE</t>
  </si>
  <si>
    <t>VECTOR_COSINE_SIMILARITY</t>
  </si>
  <si>
    <t>VECTOR_EUCLIDEAN_DISTANCE</t>
  </si>
  <si>
    <t>VECTOR_MANHATTAN_DISTANCE</t>
  </si>
  <si>
    <t>VECTOR_SOFTMAX</t>
  </si>
  <si>
    <t>VECTOR_SIGMOID</t>
  </si>
  <si>
    <t>VECTOR_RELU</t>
  </si>
  <si>
    <t>MATRIX_STANDARDIZE_COLUMNS</t>
  </si>
  <si>
    <t>MATRIX_MINMAX_SCALE_COLUMNS</t>
  </si>
  <si>
    <t>MATRIX_PAIRWISE_DISTANCE</t>
  </si>
  <si>
    <t>MATRIX_COVARIANCE</t>
  </si>
  <si>
    <t>MATRIX_ONE_HOT</t>
  </si>
  <si>
    <t>MATRIX_CONFUSION</t>
  </si>
  <si>
    <t>VECTOR_LOG_SOFTMAX</t>
  </si>
  <si>
    <t>VECTOR_TOP_K</t>
  </si>
  <si>
    <t>MATRIX_LINEAR_PREDICT</t>
  </si>
  <si>
    <t>MATRIX_CORRELATION</t>
  </si>
  <si>
    <t>MATRIX_KMEANS_ASSIGN</t>
  </si>
  <si>
    <t>Setting</t>
  </si>
  <si>
    <t>Value</t>
  </si>
  <si>
    <t>Provider</t>
  </si>
  <si>
    <t>ollama</t>
  </si>
  <si>
    <t>Base URL</t>
  </si>
  <si>
    <t>Chat model</t>
  </si>
  <si>
    <t>Vision model</t>
  </si>
  <si>
    <t>llava</t>
  </si>
  <si>
    <t>Embedding model</t>
  </si>
  <si>
    <t>nomic-embed-text</t>
  </si>
  <si>
    <t>API key</t>
  </si>
  <si>
    <t>Sample JSON</t>
  </si>
  <si>
    <t>{"choices":[{"message":{"content":"hello"}}]}</t>
  </si>
  <si>
    <t>Tiny PNG Base64</t>
  </si>
  <si>
    <t>iVBORw0KGgoAAAANSUhEUgAAAAEAAAABCAQAAAC1HAwCAAAAC0lEQVR42mP8/x8AAusB9Y9Z8xkAAAAASUVORK5CYII=</t>
  </si>
  <si>
    <t>Batch text inputs</t>
  </si>
  <si>
    <t>machine learning in spreadsheets</t>
  </si>
  <si>
    <t>semantic search over workbook notes</t>
  </si>
  <si>
    <t>cluster customer feedback</t>
  </si>
  <si>
    <t>Excel-DNA OpenAI / Ollama UDF Worksheet Harness</t>
  </si>
  <si>
    <t>Configure LLM_Test_Data first. Network tests show PASS after a valid endpoint/model responds; LLM_JSON_VALUE is deterministic and works offline. Async calls may briefly display #GETTING_DATA.</t>
  </si>
  <si>
    <t>Actual formula / spill anchor</t>
  </si>
  <si>
    <t>Expected / validation note</t>
  </si>
  <si>
    <t>LLM_CHAT</t>
  </si>
  <si>
    <t>Any nonempty response without LLM_ERROR</t>
  </si>
  <si>
    <t>LLM_CHAT_IMAGE</t>
  </si>
  <si>
    <t>Any nonempty vision response without LLM_ERROR</t>
  </si>
  <si>
    <t>LLM_EMBED</t>
  </si>
  <si>
    <t>Numeric vertical spill vector</t>
  </si>
  <si>
    <t>LLM_EMBED_BATCH</t>
  </si>
  <si>
    <t>Three embedding rows; one per input</t>
  </si>
  <si>
    <t>LLM_LIST_MODELS</t>
  </si>
  <si>
    <t>At least one model identifier</t>
  </si>
  <si>
    <t>LLM_JSON_VALUE</t>
  </si>
  <si>
    <t>hello</t>
  </si>
  <si>
    <t>llama3.2:latest</t>
  </si>
  <si>
    <t>http://dockerhost:11434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</si>
</sst>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name val="Aptos Narrow"/>
    </font>
    <font>
      <b/>
      <sz val="16"/>
      <color rgb="FFFFFFFF"/>
      <name val="Aptos Narrow"/>
    </font>
    <font>
      <b/>
      <sz val="11"/>
      <name val="Aptos Narrow"/>
    </font>
    <font>
      <b/>
      <sz val="11"/>
      <color rgb="FFFFFFFF"/>
      <name val="Aptos Narrow"/>
    </font>
    <font>
      <b/>
      <sz val="14"/>
      <color rgb="FFFFFFFF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E2F0D9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2" borderId="1" xfId="0" applyFill="1" applyBorder="1"/>
    <xf numFmtId="0" fontId="1" fillId="0" borderId="2" xfId="0" applyFont="1" applyBorder="1"/>
    <xf numFmtId="0" fontId="0" fillId="0" borderId="2" xfId="0" applyBorder="1"/>
    <xf numFmtId="0" fontId="0" fillId="3" borderId="1" xfId="0" applyFill="1" applyBorder="1"/>
    <xf numFmtId="0" fontId="3" fillId="0" borderId="0" xfId="0" applyFont="1"/>
    <xf numFmtId="0" fontId="6" fillId="4" borderId="0" xfId="0" applyFont="1" applyFill="1"/>
    <xf numFmtId="0" fontId="5" fillId="5" borderId="0" xfId="0" applyFont="1" applyFill="1"/>
    <xf numFmtId="0" fontId="5" fillId="5" borderId="3" xfId="0" applyFont="1" applyFill="1" applyBorder="1"/>
    <xf numFmtId="0" fontId="0" fillId="6" borderId="3" xfId="0" applyFill="1" applyBorder="1"/>
    <xf numFmtId="0" fontId="0" fillId="0" borderId="3" xfId="0" applyBorder="1"/>
    <xf numFmtId="164" fontId="0" fillId="0" borderId="3" xfId="0" applyNumberFormat="1" applyBorder="1"/>
    <xf numFmtId="0" fontId="5" fillId="0" borderId="3" xfId="0" applyFont="1" applyBorder="1"/>
    <xf numFmtId="0" fontId="6" fillId="4" borderId="0" xfId="0" applyFont="1" applyFill="1" applyAlignment="1">
      <alignment horizontal="center" wrapText="1"/>
    </xf>
    <xf numFmtId="0" fontId="5" fillId="5" borderId="4" xfId="0" applyFont="1" applyFill="1" applyBorder="1"/>
    <xf numFmtId="0" fontId="0" fillId="0" borderId="4" xfId="0" applyBorder="1" applyAlignment="1">
      <alignment vertical="top" wrapText="1"/>
    </xf>
    <xf numFmtId="0" fontId="0" fillId="0" borderId="4" xfId="0" applyBorder="1"/>
    <xf numFmtId="0" fontId="0" fillId="7" borderId="4" xfId="0" applyFill="1" applyBorder="1"/>
    <xf numFmtId="0" fontId="4" fillId="4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wrapText="1"/>
    </xf>
    <xf numFmtId="0" fontId="7" fillId="4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6" fillId="4" borderId="0" xfId="0" applyFont="1" applyFill="1" applyAlignment="1">
      <alignment horizontal="left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5" borderId="4" xfId="0" applyFill="1" applyBorder="1" applyAlignment="1">
      <alignment horizontal="left" vertical="top" wrapText="1"/>
    </xf>
  </cellXfs>
  <cellStyles count="1">
    <cellStyle name="Normal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b4b6f42b74bc4ba8bc36e21e14b7a0c6">
      <tp>
        <v>46227.148313576392</v>
        <stp/>
        <stp>7f18d313-fa2b-433c-836d-fff1a07014af</stp>
        <tr r="B5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40"/>
  <sheetViews>
    <sheetView topLeftCell="A25" workbookViewId="0">
      <selection activeCell="C43" sqref="C43"/>
    </sheetView>
  </sheetViews>
  <sheetFormatPr defaultRowHeight="14.35" x14ac:dyDescent="0.5"/>
  <cols>
    <col min="1" max="1" width="14.9375" customWidth="1"/>
    <col min="3" max="3" width="23.234375" customWidth="1"/>
  </cols>
  <sheetData>
    <row r="4" spans="1:9" x14ac:dyDescent="0.5">
      <c r="A4" s="4" t="s">
        <v>0</v>
      </c>
      <c r="B4" s="5"/>
      <c r="C4" s="5"/>
      <c r="D4" s="5"/>
      <c r="E4" s="5"/>
      <c r="F4" s="5"/>
      <c r="G4" s="5"/>
      <c r="H4" s="5"/>
      <c r="I4" s="5"/>
    </row>
    <row r="5" spans="1:9" x14ac:dyDescent="0.5">
      <c r="A5">
        <v>16</v>
      </c>
      <c r="B5" t="s">
        <v>1</v>
      </c>
      <c r="C5" t="s">
        <v>2</v>
      </c>
      <c r="D5" t="str">
        <f t="array" ref="D5">_xll.HashArray(B5:C5, A5)</f>
        <v>btlCxRWOLKFSXMBX</v>
      </c>
    </row>
    <row r="6" spans="1:9" x14ac:dyDescent="0.5">
      <c r="A6">
        <v>16</v>
      </c>
      <c r="B6" t="s">
        <v>3</v>
      </c>
      <c r="C6" t="s">
        <v>1</v>
      </c>
      <c r="D6" t="str">
        <f t="array" ref="D6">_xll.HashArray(B6:C6, A6)</f>
        <v>8xY8N3VsmMGrudb6</v>
      </c>
    </row>
    <row r="7" spans="1:9" x14ac:dyDescent="0.5">
      <c r="A7">
        <v>32</v>
      </c>
      <c r="B7" t="s">
        <v>1</v>
      </c>
      <c r="C7" t="s">
        <v>2</v>
      </c>
      <c r="D7" t="str">
        <f t="array" ref="D7">_xll.HashArray(B7:C7, A7)</f>
        <v>btlCxRWOLKFSXMBXy2fhXc5iCyqKWIvR</v>
      </c>
    </row>
    <row r="8" spans="1:9" x14ac:dyDescent="0.5">
      <c r="A8">
        <v>32</v>
      </c>
      <c r="B8" t="s">
        <v>3</v>
      </c>
      <c r="C8" t="s">
        <v>1</v>
      </c>
      <c r="D8" t="str">
        <f t="array" ref="D8">_xll.HashArray(B8:C8, A8)</f>
        <v>8xY8N3VsmMGrudb68jEc49FNXqMlTlBv</v>
      </c>
    </row>
    <row r="9" spans="1:9" x14ac:dyDescent="0.5">
      <c r="A9" s="2" t="s">
        <v>4</v>
      </c>
      <c r="B9" s="6" t="b">
        <f>AND(D5=D6,D7=D8)</f>
        <v>0</v>
      </c>
      <c r="C9" s="3"/>
      <c r="D9" s="3"/>
      <c r="E9" s="3"/>
      <c r="F9" s="3"/>
      <c r="G9" s="3"/>
      <c r="H9" s="3"/>
      <c r="I9" s="3"/>
    </row>
    <row r="11" spans="1:9" x14ac:dyDescent="0.5">
      <c r="A11" s="4" t="s">
        <v>5</v>
      </c>
      <c r="B11" s="5"/>
      <c r="C11" s="5"/>
      <c r="D11" s="5"/>
      <c r="E11" s="5"/>
      <c r="F11" s="5"/>
      <c r="G11" s="5"/>
      <c r="H11" s="5"/>
      <c r="I11" s="5"/>
    </row>
    <row r="12" spans="1:9" x14ac:dyDescent="0.5">
      <c r="A12" t="s">
        <v>6</v>
      </c>
      <c r="B12">
        <v>48</v>
      </c>
      <c r="C12" t="str">
        <f t="array" ref="C12">_xll.SetThreads(B12,TRUE)</f>
        <v>Thread settings updated</v>
      </c>
    </row>
    <row r="14" spans="1:9" x14ac:dyDescent="0.5">
      <c r="A14" s="1" t="s">
        <v>7</v>
      </c>
    </row>
    <row r="15" spans="1:9" x14ac:dyDescent="0.5">
      <c r="A15" t="str">
        <f t="array" ref="A15:B17">_xll.GetThreads()</f>
        <v>Current Thread Count</v>
      </c>
      <c r="B15">
        <v>48</v>
      </c>
    </row>
    <row r="16" spans="1:9" x14ac:dyDescent="0.5">
      <c r="A16" t="str">
        <v>Max Available</v>
      </c>
      <c r="B16">
        <v>64</v>
      </c>
    </row>
    <row r="17" spans="1:10" x14ac:dyDescent="0.5">
      <c r="A17" t="str">
        <v>Mode Enabled</v>
      </c>
      <c r="B17" t="b">
        <v>1</v>
      </c>
    </row>
    <row r="18" spans="1:10" x14ac:dyDescent="0.5">
      <c r="A18" s="2" t="s">
        <v>4</v>
      </c>
      <c r="B18" s="3" t="b">
        <f>B15=B12</f>
        <v>1</v>
      </c>
      <c r="C18" s="3"/>
      <c r="D18" s="3"/>
      <c r="E18" s="3"/>
      <c r="F18" s="3"/>
      <c r="G18" s="3"/>
      <c r="H18" s="3"/>
      <c r="I18" s="3"/>
    </row>
    <row r="20" spans="1:10" x14ac:dyDescent="0.5">
      <c r="A20" s="4" t="s">
        <v>8</v>
      </c>
      <c r="B20" s="5"/>
      <c r="C20" s="5"/>
      <c r="D20" s="5" t="s">
        <v>1</v>
      </c>
      <c r="E20" s="5" t="s">
        <v>2</v>
      </c>
      <c r="F20" s="5" t="s">
        <v>9</v>
      </c>
      <c r="G20" s="5" t="s">
        <v>10</v>
      </c>
      <c r="H20" s="5"/>
      <c r="I20" s="5"/>
    </row>
    <row r="21" spans="1:10" x14ac:dyDescent="0.5">
      <c r="A21" t="s">
        <v>11</v>
      </c>
      <c r="B21" t="b">
        <f t="array" ref="B21">_xll.IsMemberOf(D20:G20, D21:E21)</f>
        <v>1</v>
      </c>
      <c r="D21" t="s">
        <v>10</v>
      </c>
      <c r="E21" t="s">
        <v>2</v>
      </c>
    </row>
    <row r="22" spans="1:10" x14ac:dyDescent="0.5">
      <c r="A22" t="s">
        <v>12</v>
      </c>
      <c r="B22" t="b">
        <f t="array" ref="B22">_xll.IsMemberOf(D20:G20,D22:E22)</f>
        <v>1</v>
      </c>
      <c r="D22" t="s">
        <v>9</v>
      </c>
      <c r="E22" t="s">
        <v>13</v>
      </c>
    </row>
    <row r="23" spans="1:10" x14ac:dyDescent="0.5">
      <c r="A23" t="s">
        <v>14</v>
      </c>
      <c r="B23" t="b">
        <f t="array" ref="B23">_xll.IsMemberOf(D20:G20,D23:E23)</f>
        <v>0</v>
      </c>
      <c r="D23" t="s">
        <v>15</v>
      </c>
    </row>
    <row r="24" spans="1:10" x14ac:dyDescent="0.5">
      <c r="A24" s="2" t="s">
        <v>4</v>
      </c>
      <c r="B24" s="3" t="b">
        <f>AND(B21,B22,NOT(B23))</f>
        <v>1</v>
      </c>
      <c r="C24" s="3"/>
      <c r="D24" s="3"/>
      <c r="E24" s="3"/>
      <c r="F24" s="3"/>
      <c r="G24" s="3"/>
      <c r="H24" s="3"/>
      <c r="I24" s="3"/>
    </row>
    <row r="26" spans="1:10" x14ac:dyDescent="0.5">
      <c r="A26" s="1" t="s">
        <v>16</v>
      </c>
      <c r="C26" t="s">
        <v>17</v>
      </c>
      <c r="D26" t="str">
        <f t="array" ref="D26:J26">_xll.TrueSplit(C26,",")</f>
        <v>A</v>
      </c>
      <c r="E26" t="str">
        <v>B</v>
      </c>
      <c r="F26" t="str">
        <v>CC</v>
      </c>
      <c r="G26" t="str">
        <v>DDDD</v>
      </c>
      <c r="H26" t="str">
        <v>EFG</v>
      </c>
      <c r="I26" t="str">
        <v/>
      </c>
      <c r="J26" t="str">
        <v>45</v>
      </c>
    </row>
    <row r="27" spans="1:10" x14ac:dyDescent="0.5">
      <c r="A27" s="1"/>
      <c r="C27" t="str">
        <f>_xlfn.TEXTJOIN(",",FALSE,_xlfn.ANCHORARRAY(D26))</f>
        <v>A,B,CC,DDDD,EFG,,45</v>
      </c>
    </row>
    <row r="28" spans="1:10" x14ac:dyDescent="0.5">
      <c r="C28" t="s">
        <v>18</v>
      </c>
      <c r="D28" t="str">
        <f t="array" ref="D28:I28">_xll.TrueSplit(C28,"^")</f>
        <v>GF</v>
      </c>
      <c r="E28" t="str">
        <v>jhgdh</v>
      </c>
      <c r="F28" t="str">
        <v>dddgc</v>
      </c>
      <c r="G28" t="str">
        <v>ddddd</v>
      </c>
      <c r="H28" t="str">
        <v/>
      </c>
      <c r="I28" t="str">
        <v>&amp;</v>
      </c>
    </row>
    <row r="29" spans="1:10" x14ac:dyDescent="0.5">
      <c r="C29" t="str">
        <f>_xlfn.TEXTJOIN("^",FALSE,_xlfn.ANCHORARRAY(D28))</f>
        <v>GF^jhgdh^dddgc^ddddd^^&amp;</v>
      </c>
    </row>
    <row r="31" spans="1:10" x14ac:dyDescent="0.5">
      <c r="A31" s="2" t="s">
        <v>4</v>
      </c>
      <c r="B31" s="3" t="b">
        <f>AND(C27=C26,C29=C28)</f>
        <v>1</v>
      </c>
      <c r="C31" s="3"/>
      <c r="D31" s="3"/>
      <c r="E31" s="3"/>
      <c r="F31" s="3"/>
      <c r="G31" s="3"/>
      <c r="H31" s="3"/>
      <c r="I31" s="3"/>
    </row>
    <row r="33" spans="1:9" x14ac:dyDescent="0.5">
      <c r="A33" s="1" t="s">
        <v>19</v>
      </c>
      <c r="B33" t="s">
        <v>20</v>
      </c>
      <c r="C33" t="s">
        <v>21</v>
      </c>
    </row>
    <row r="34" spans="1:9" x14ac:dyDescent="0.5">
      <c r="A34" t="s">
        <v>22</v>
      </c>
      <c r="B34">
        <v>1</v>
      </c>
      <c r="C34">
        <f t="array" ref="C34">_xll.FindPos($C$33,A34,B34)</f>
        <v>23</v>
      </c>
      <c r="D34" t="str">
        <f>MID($C$33,C34,LEN(A34))</f>
        <v>amet</v>
      </c>
    </row>
    <row r="35" spans="1:9" x14ac:dyDescent="0.5">
      <c r="A35" t="s">
        <v>23</v>
      </c>
      <c r="B35">
        <v>1</v>
      </c>
      <c r="C35">
        <f t="array" ref="C35">_xll.FindPos($C$33,A35,B35)</f>
        <v>2</v>
      </c>
      <c r="D35" t="str">
        <f>MID($C$33,C35,LEN(A35))</f>
        <v>or</v>
      </c>
    </row>
    <row r="36" spans="1:9" x14ac:dyDescent="0.5">
      <c r="A36" t="str">
        <f>A35</f>
        <v>or</v>
      </c>
      <c r="B36">
        <v>2</v>
      </c>
      <c r="C36">
        <f t="array" ref="C36">_xll.FindPos($C$33,A36,B36)</f>
        <v>16</v>
      </c>
      <c r="D36" t="str">
        <f>MID($C$33,C36,LEN(A36))</f>
        <v>or</v>
      </c>
    </row>
    <row r="37" spans="1:9" x14ac:dyDescent="0.5">
      <c r="A37" t="str">
        <f>A35</f>
        <v>or</v>
      </c>
      <c r="B37">
        <v>3</v>
      </c>
      <c r="C37">
        <f t="array" ref="C37">_xll.FindPos($C$33,A37,B37)</f>
        <v>77</v>
      </c>
      <c r="D37" t="str">
        <f>MID($C$33,C37,LEN(A37))</f>
        <v>or</v>
      </c>
    </row>
    <row r="38" spans="1:9" x14ac:dyDescent="0.5">
      <c r="A38" t="str">
        <f>A35</f>
        <v>or</v>
      </c>
      <c r="B38">
        <v>99</v>
      </c>
      <c r="C38" t="e" cm="1">
        <f t="array" ref="C38">_xll.FindPos($C$33,A38,B38)</f>
        <v>#VALUE!</v>
      </c>
      <c r="D38" t="e">
        <f>MID($C$33,C38,LEN(A38))</f>
        <v>#VALUE!</v>
      </c>
    </row>
    <row r="40" spans="1:9" x14ac:dyDescent="0.5">
      <c r="A40" s="2" t="s">
        <v>4</v>
      </c>
      <c r="B40" s="3" t="b">
        <f>AND(A34=D34,A35=D35,A36=D36,A37=D37,ISERR(D38))</f>
        <v>1</v>
      </c>
      <c r="C40" s="3"/>
      <c r="D40" s="3"/>
      <c r="E40" s="3"/>
      <c r="F40" s="3"/>
      <c r="G40" s="3"/>
      <c r="H40" s="3"/>
      <c r="I4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2"/>
  <sheetViews>
    <sheetView showGridLines="0" workbookViewId="0">
      <pane ySplit="3" topLeftCell="A85" activePane="bottomLeft" state="frozen"/>
      <selection pane="bottomLeft" activeCell="B101" sqref="B101"/>
    </sheetView>
  </sheetViews>
  <sheetFormatPr defaultRowHeight="14.35" x14ac:dyDescent="0.5"/>
  <cols>
    <col min="1" max="1" width="34" customWidth="1"/>
    <col min="2" max="4" width="18" customWidth="1"/>
    <col min="5" max="5" width="3" customWidth="1"/>
    <col min="6" max="8" width="18" customWidth="1"/>
    <col min="9" max="9" width="3" customWidth="1"/>
    <col min="10" max="10" width="14" customWidth="1"/>
  </cols>
  <sheetData>
    <row r="1" spans="1:10" ht="20.7" x14ac:dyDescent="0.7">
      <c r="A1" s="20" t="s">
        <v>27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5">
      <c r="A2" s="22" t="s">
        <v>28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x14ac:dyDescent="0.5">
      <c r="A3" s="8" t="s">
        <v>29</v>
      </c>
      <c r="B3" s="8" t="s">
        <v>30</v>
      </c>
      <c r="F3" s="8" t="s">
        <v>31</v>
      </c>
      <c r="J3" s="9" t="str">
        <f ca="1">COUNTIF(J:J,TRUE)&amp;"/20 passed"</f>
        <v/>
      </c>
    </row>
    <row r="5" spans="1:10" x14ac:dyDescent="0.5">
      <c r="A5" s="10" t="s">
        <v>32</v>
      </c>
      <c r="B5" s="11" cm="1">
        <f t="array" ref="B5">_xll.VECTOR_DOT(AIML_Test_Data!A2:A4,AIML_Test_Data!B2:B4)</f>
        <v>32</v>
      </c>
      <c r="C5" s="12"/>
      <c r="D5" s="12"/>
      <c r="E5" s="12"/>
      <c r="F5" s="13">
        <v>32</v>
      </c>
      <c r="G5" s="12"/>
      <c r="H5" s="12"/>
      <c r="I5" s="12"/>
      <c r="J5" s="14" t="b">
        <f>IFERROR(ABS(B5-F5)&lt;0.00000001,FALSE)</f>
        <v>1</v>
      </c>
    </row>
    <row r="6" spans="1:10" x14ac:dyDescent="0.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 x14ac:dyDescent="0.5">
      <c r="A7" s="12"/>
      <c r="B7" s="12"/>
      <c r="C7" s="12"/>
      <c r="D7" s="12"/>
      <c r="E7" s="12"/>
      <c r="F7" s="12"/>
      <c r="G7" s="12"/>
      <c r="H7" s="12"/>
      <c r="I7" s="12"/>
      <c r="J7" s="12"/>
    </row>
    <row r="10" spans="1:10" x14ac:dyDescent="0.5">
      <c r="A10" s="10" t="s">
        <v>33</v>
      </c>
      <c r="B10" s="11" cm="1">
        <f t="array" ref="B10">_xll.VECTOR_NORM(AIML_Test_Data!C2:C3)</f>
        <v>5</v>
      </c>
      <c r="C10" s="12"/>
      <c r="D10" s="12"/>
      <c r="E10" s="12"/>
      <c r="F10" s="13">
        <v>5</v>
      </c>
      <c r="G10" s="12"/>
      <c r="H10" s="12"/>
      <c r="I10" s="12"/>
      <c r="J10" s="14" t="b">
        <f>IFERROR(ABS(B10-F10)&lt;0.00000001,FALSE)</f>
        <v>1</v>
      </c>
    </row>
    <row r="11" spans="1:10" x14ac:dyDescent="0.5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5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5" spans="1:10" x14ac:dyDescent="0.5">
      <c r="A15" s="10" t="s">
        <v>34</v>
      </c>
      <c r="B15" s="11" cm="1">
        <f t="array" ref="B15:B16">_xll.VECTOR_NORMALIZE(AIML_Test_Data!C2:C3)</f>
        <v>0.6</v>
      </c>
      <c r="C15" s="12"/>
      <c r="D15" s="12"/>
      <c r="E15" s="12"/>
      <c r="F15" s="13">
        <v>0.6</v>
      </c>
      <c r="G15" s="12"/>
      <c r="H15" s="12"/>
      <c r="I15" s="12"/>
      <c r="J15" s="14"/>
    </row>
    <row r="16" spans="1:10" x14ac:dyDescent="0.5">
      <c r="A16" s="12"/>
      <c r="B16" s="12">
        <v>0.8</v>
      </c>
      <c r="C16" s="12"/>
      <c r="D16" s="12"/>
      <c r="E16" s="12"/>
      <c r="F16" s="13">
        <v>0.8</v>
      </c>
      <c r="G16" s="12"/>
      <c r="H16" s="12"/>
      <c r="I16" s="12"/>
      <c r="J16" s="12"/>
    </row>
    <row r="17" spans="1:10" x14ac:dyDescent="0.5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20" spans="1:10" x14ac:dyDescent="0.5">
      <c r="A20" s="10" t="s">
        <v>35</v>
      </c>
      <c r="B20" s="11" cm="1">
        <f t="array" ref="B20">_xll.VECTOR_COSINE_SIMILARITY(AIML_Test_Data!D2:D3,AIML_Test_Data!E2:E3)</f>
        <v>0</v>
      </c>
      <c r="C20" s="12"/>
      <c r="D20" s="12"/>
      <c r="E20" s="12"/>
      <c r="F20" s="13">
        <v>0</v>
      </c>
      <c r="G20" s="12"/>
      <c r="H20" s="12"/>
      <c r="I20" s="12"/>
      <c r="J20" s="14" t="b">
        <f>IFERROR(ABS(B20-F20)&lt;0.00000001,FALSE)</f>
        <v>1</v>
      </c>
    </row>
    <row r="21" spans="1:10" x14ac:dyDescent="0.5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x14ac:dyDescent="0.5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5" spans="1:10" x14ac:dyDescent="0.5">
      <c r="A25" s="10" t="s">
        <v>36</v>
      </c>
      <c r="B25" s="11" cm="1">
        <f t="array" ref="B25">_xll.VECTOR_EUCLIDEAN_DISTANCE(AIML_Test_Data!F2:F3,AIML_Test_Data!G2:G3)</f>
        <v>5</v>
      </c>
      <c r="C25" s="12"/>
      <c r="D25" s="12"/>
      <c r="E25" s="12"/>
      <c r="F25" s="13">
        <v>5</v>
      </c>
      <c r="G25" s="12"/>
      <c r="H25" s="12"/>
      <c r="I25" s="12"/>
      <c r="J25" s="14" t="b">
        <f>IFERROR(ABS(B25-F25)&lt;0.00000001,FALSE)</f>
        <v>1</v>
      </c>
    </row>
    <row r="26" spans="1:10" x14ac:dyDescent="0.5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 x14ac:dyDescent="0.5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30" spans="1:10" x14ac:dyDescent="0.5">
      <c r="A30" s="10" t="s">
        <v>37</v>
      </c>
      <c r="B30" s="11" cm="1">
        <f t="array" ref="B30">_xll.VECTOR_MANHATTAN_DISTANCE(AIML_Test_Data!F2:F3,AIML_Test_Data!G2:G3)</f>
        <v>7</v>
      </c>
      <c r="C30" s="12"/>
      <c r="D30" s="12"/>
      <c r="E30" s="12"/>
      <c r="F30" s="13">
        <v>7</v>
      </c>
      <c r="G30" s="12"/>
      <c r="H30" s="12"/>
      <c r="I30" s="12"/>
      <c r="J30" s="14" t="b">
        <f>IFERROR(ABS(B30-F30)&lt;0.00000001,FALSE)</f>
        <v>1</v>
      </c>
    </row>
    <row r="31" spans="1:10" x14ac:dyDescent="0.5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 x14ac:dyDescent="0.5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5" spans="1:10" x14ac:dyDescent="0.5">
      <c r="A35" s="10" t="s">
        <v>38</v>
      </c>
      <c r="B35" s="11" cm="1">
        <f t="array" ref="B35:B36">_xll.VECTOR_SOFTMAX(AIML_Test_Data!H2:H3)</f>
        <v>0.5</v>
      </c>
      <c r="C35" s="12"/>
      <c r="D35" s="12"/>
      <c r="E35" s="12"/>
      <c r="F35" s="13">
        <v>0.5</v>
      </c>
      <c r="G35" s="12"/>
      <c r="H35" s="12"/>
      <c r="I35" s="12"/>
      <c r="J35" s="14"/>
    </row>
    <row r="36" spans="1:10" x14ac:dyDescent="0.5">
      <c r="A36" s="12"/>
      <c r="B36" s="12">
        <v>0.5</v>
      </c>
      <c r="C36" s="12"/>
      <c r="D36" s="12"/>
      <c r="E36" s="12"/>
      <c r="F36" s="13">
        <v>0.5</v>
      </c>
      <c r="G36" s="12"/>
      <c r="H36" s="12"/>
      <c r="I36" s="12"/>
      <c r="J36" s="12"/>
    </row>
    <row r="37" spans="1:10" x14ac:dyDescent="0.5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40" spans="1:10" x14ac:dyDescent="0.5">
      <c r="A40" s="10" t="s">
        <v>39</v>
      </c>
      <c r="B40" s="11" cm="1">
        <f t="array" ref="B40">_xll.VECTOR_SIGMOID(AIML_Test_Data!H2:H2)</f>
        <v>0.5</v>
      </c>
      <c r="C40" s="12"/>
      <c r="D40" s="12"/>
      <c r="E40" s="12"/>
      <c r="F40" s="13">
        <v>0.5</v>
      </c>
      <c r="G40" s="12"/>
      <c r="H40" s="12"/>
      <c r="I40" s="12"/>
      <c r="J40" s="14" t="b">
        <f>IFERROR(ABS(B40-F40)&lt;0.00000001,FALSE)</f>
        <v>1</v>
      </c>
    </row>
    <row r="41" spans="1:10" x14ac:dyDescent="0.5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 x14ac:dyDescent="0.5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5" spans="1:10" x14ac:dyDescent="0.5">
      <c r="A45" s="10" t="s">
        <v>40</v>
      </c>
      <c r="B45" s="11" t="e">
        <f ca="1">VECTOR_RELU(AIML_Test_Data!I2:K2)</f>
        <v>#NAME?</v>
      </c>
      <c r="C45" s="12"/>
      <c r="D45" s="12"/>
      <c r="E45" s="12"/>
      <c r="F45" s="13">
        <v>0</v>
      </c>
      <c r="G45" s="13">
        <v>0</v>
      </c>
      <c r="H45" s="13">
        <v>3</v>
      </c>
      <c r="I45" s="12"/>
      <c r="J45" s="14"/>
    </row>
    <row r="46" spans="1:10" x14ac:dyDescent="0.5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 x14ac:dyDescent="0.5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50" spans="1:10" x14ac:dyDescent="0.5">
      <c r="A50" s="10" t="s">
        <v>41</v>
      </c>
      <c r="B50" s="11" cm="1">
        <f t="array" ref="B50:C52">_xll.MATRIX_STANDARDIZE_COLUMNS(AIML_Test_Data!L2:M4,FALSE)</f>
        <v>-1.2247448713915889</v>
      </c>
      <c r="C50" s="12">
        <v>-1.2247448713915889</v>
      </c>
      <c r="D50" s="12"/>
      <c r="E50" s="12"/>
      <c r="F50" s="13">
        <v>-1.2247448713915889</v>
      </c>
      <c r="G50" s="13">
        <v>-1.2247448713915889</v>
      </c>
      <c r="H50" s="12"/>
      <c r="I50" s="12"/>
      <c r="J50" s="14"/>
    </row>
    <row r="51" spans="1:10" x14ac:dyDescent="0.5">
      <c r="A51" s="12"/>
      <c r="B51" s="12">
        <v>0</v>
      </c>
      <c r="C51" s="12">
        <v>0</v>
      </c>
      <c r="D51" s="12"/>
      <c r="E51" s="12"/>
      <c r="F51" s="13">
        <v>0</v>
      </c>
      <c r="G51" s="13">
        <v>0</v>
      </c>
      <c r="H51" s="12"/>
      <c r="I51" s="12"/>
      <c r="J51" s="12"/>
    </row>
    <row r="52" spans="1:10" x14ac:dyDescent="0.5">
      <c r="A52" s="12"/>
      <c r="B52" s="12">
        <v>1.2247448713915889</v>
      </c>
      <c r="C52" s="12">
        <v>1.2247448713915889</v>
      </c>
      <c r="D52" s="12"/>
      <c r="E52" s="12"/>
      <c r="F52" s="13">
        <v>1.2247448713915889</v>
      </c>
      <c r="G52" s="13">
        <v>1.2247448713915889</v>
      </c>
      <c r="H52" s="12"/>
      <c r="I52" s="12"/>
      <c r="J52" s="12"/>
    </row>
    <row r="55" spans="1:10" x14ac:dyDescent="0.5">
      <c r="A55" s="10" t="s">
        <v>42</v>
      </c>
      <c r="B55" s="11" cm="1">
        <f t="array" ref="B55:C57">_xll.MATRIX_MINMAX_SCALE_COLUMNS(AIML_Test_Data!L2:M4)</f>
        <v>0</v>
      </c>
      <c r="C55" s="12">
        <v>0</v>
      </c>
      <c r="D55" s="12"/>
      <c r="E55" s="12"/>
      <c r="F55" s="13">
        <v>0</v>
      </c>
      <c r="G55" s="13">
        <v>0</v>
      </c>
      <c r="H55" s="12"/>
      <c r="I55" s="12"/>
      <c r="J55" s="14"/>
    </row>
    <row r="56" spans="1:10" x14ac:dyDescent="0.5">
      <c r="A56" s="12"/>
      <c r="B56" s="12">
        <v>0.5</v>
      </c>
      <c r="C56" s="12">
        <v>0.5</v>
      </c>
      <c r="D56" s="12"/>
      <c r="E56" s="12"/>
      <c r="F56" s="13">
        <v>0.5</v>
      </c>
      <c r="G56" s="13">
        <v>0.5</v>
      </c>
      <c r="H56" s="12"/>
      <c r="I56" s="12"/>
      <c r="J56" s="12"/>
    </row>
    <row r="57" spans="1:10" x14ac:dyDescent="0.5">
      <c r="A57" s="12"/>
      <c r="B57" s="12">
        <v>1</v>
      </c>
      <c r="C57" s="12">
        <v>1</v>
      </c>
      <c r="D57" s="12"/>
      <c r="E57" s="12"/>
      <c r="F57" s="13">
        <v>1</v>
      </c>
      <c r="G57" s="13">
        <v>1</v>
      </c>
      <c r="H57" s="12"/>
      <c r="I57" s="12"/>
      <c r="J57" s="12"/>
    </row>
    <row r="60" spans="1:10" x14ac:dyDescent="0.5">
      <c r="A60" s="10" t="s">
        <v>43</v>
      </c>
      <c r="B60" s="11" cm="1">
        <f t="array" ref="B60:C61">_xll.MATRIX_PAIRWISE_DISTANCE(AIML_Test_Data!N2:O3,"euclidean")</f>
        <v>0</v>
      </c>
      <c r="C60" s="12">
        <v>5</v>
      </c>
      <c r="D60" s="12"/>
      <c r="E60" s="12"/>
      <c r="F60" s="13">
        <v>0</v>
      </c>
      <c r="G60" s="13">
        <v>5</v>
      </c>
      <c r="H60" s="12"/>
      <c r="I60" s="12"/>
      <c r="J60" s="14"/>
    </row>
    <row r="61" spans="1:10" x14ac:dyDescent="0.5">
      <c r="A61" s="12"/>
      <c r="B61" s="12">
        <v>5</v>
      </c>
      <c r="C61" s="12">
        <v>0</v>
      </c>
      <c r="D61" s="12"/>
      <c r="E61" s="12"/>
      <c r="F61" s="13">
        <v>5</v>
      </c>
      <c r="G61" s="13">
        <v>0</v>
      </c>
      <c r="H61" s="12"/>
      <c r="I61" s="12"/>
      <c r="J61" s="12"/>
    </row>
    <row r="62" spans="1:10" x14ac:dyDescent="0.5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5" spans="1:10" x14ac:dyDescent="0.5">
      <c r="A65" s="10" t="s">
        <v>44</v>
      </c>
      <c r="B65" s="11" cm="1">
        <f t="array" ref="B65:C66">_xll.MATRIX_COVARIANCE(AIML_Test_Data!P2:Q4,TRUE)</f>
        <v>1</v>
      </c>
      <c r="C65" s="12">
        <v>2</v>
      </c>
      <c r="D65" s="12"/>
      <c r="E65" s="12"/>
      <c r="F65" s="13">
        <v>1</v>
      </c>
      <c r="G65" s="13">
        <v>2</v>
      </c>
      <c r="H65" s="12"/>
      <c r="I65" s="12"/>
      <c r="J65" s="14"/>
    </row>
    <row r="66" spans="1:10" x14ac:dyDescent="0.5">
      <c r="A66" s="12"/>
      <c r="B66" s="12">
        <v>2</v>
      </c>
      <c r="C66" s="12">
        <v>4</v>
      </c>
      <c r="D66" s="12"/>
      <c r="E66" s="12"/>
      <c r="F66" s="13">
        <v>2</v>
      </c>
      <c r="G66" s="13">
        <v>4</v>
      </c>
      <c r="H66" s="12"/>
      <c r="I66" s="12"/>
      <c r="J66" s="12"/>
    </row>
    <row r="67" spans="1:10" x14ac:dyDescent="0.5">
      <c r="A67" s="12"/>
      <c r="B67" s="12"/>
      <c r="C67" s="12"/>
      <c r="D67" s="12"/>
      <c r="E67" s="12"/>
      <c r="F67" s="12"/>
      <c r="G67" s="12"/>
      <c r="H67" s="12"/>
      <c r="I67" s="12"/>
      <c r="J67" s="12"/>
    </row>
    <row r="70" spans="1:10" x14ac:dyDescent="0.5">
      <c r="A70" s="10" t="s">
        <v>45</v>
      </c>
      <c r="B70" s="11" cm="1">
        <f t="array" ref="B70:C72">_xll.MATRIX_ONE_HOT(AIML_Test_Data!R2:R4)</f>
        <v>1</v>
      </c>
      <c r="C70" s="12">
        <v>0</v>
      </c>
      <c r="D70" s="12"/>
      <c r="E70" s="12"/>
      <c r="F70" s="13">
        <v>1</v>
      </c>
      <c r="G70" s="13">
        <v>0</v>
      </c>
      <c r="H70" s="12"/>
      <c r="I70" s="12"/>
      <c r="J70" s="14"/>
    </row>
    <row r="71" spans="1:10" x14ac:dyDescent="0.5">
      <c r="A71" s="12"/>
      <c r="B71" s="12">
        <v>0</v>
      </c>
      <c r="C71" s="12">
        <v>1</v>
      </c>
      <c r="D71" s="12"/>
      <c r="E71" s="12"/>
      <c r="F71" s="13">
        <v>0</v>
      </c>
      <c r="G71" s="13">
        <v>1</v>
      </c>
      <c r="H71" s="12"/>
      <c r="I71" s="12"/>
      <c r="J71" s="12"/>
    </row>
    <row r="72" spans="1:10" x14ac:dyDescent="0.5">
      <c r="A72" s="12"/>
      <c r="B72" s="12">
        <v>1</v>
      </c>
      <c r="C72" s="12">
        <v>0</v>
      </c>
      <c r="D72" s="12"/>
      <c r="E72" s="12"/>
      <c r="F72" s="13">
        <v>1</v>
      </c>
      <c r="G72" s="13">
        <v>0</v>
      </c>
      <c r="H72" s="12"/>
      <c r="I72" s="12"/>
      <c r="J72" s="12"/>
    </row>
    <row r="75" spans="1:10" x14ac:dyDescent="0.5">
      <c r="A75" s="10" t="s">
        <v>46</v>
      </c>
      <c r="B75" s="11" cm="1">
        <f t="array" ref="B75:C76">_xll.MATRIX_CONFUSION(AIML_Test_Data!R2:R4,AIML_Test_Data!S2:S4)</f>
        <v>1</v>
      </c>
      <c r="C75" s="12">
        <v>1</v>
      </c>
      <c r="D75" s="12"/>
      <c r="E75" s="12"/>
      <c r="F75" s="13">
        <v>1</v>
      </c>
      <c r="G75" s="13">
        <v>1</v>
      </c>
      <c r="H75" s="12"/>
      <c r="I75" s="12"/>
      <c r="J75" s="14"/>
    </row>
    <row r="76" spans="1:10" x14ac:dyDescent="0.5">
      <c r="A76" s="12"/>
      <c r="B76" s="12">
        <v>1</v>
      </c>
      <c r="C76" s="12">
        <v>0</v>
      </c>
      <c r="D76" s="12"/>
      <c r="E76" s="12"/>
      <c r="F76" s="13">
        <v>1</v>
      </c>
      <c r="G76" s="13">
        <v>0</v>
      </c>
      <c r="H76" s="12"/>
      <c r="I76" s="12"/>
      <c r="J76" s="12"/>
    </row>
    <row r="77" spans="1:10" x14ac:dyDescent="0.5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80" spans="1:10" x14ac:dyDescent="0.5">
      <c r="A80" s="10" t="s">
        <v>47</v>
      </c>
      <c r="B80" s="11" cm="1">
        <f t="array" ref="B80:B81">_xll.VECTOR_LOG_SOFTMAX(AIML_Test_Data!H2:H3)</f>
        <v>-0.69314718055994529</v>
      </c>
      <c r="C80" s="12"/>
      <c r="D80" s="12"/>
      <c r="E80" s="12"/>
      <c r="F80" s="13">
        <v>-0.69314718055994529</v>
      </c>
      <c r="G80" s="12"/>
      <c r="H80" s="12"/>
      <c r="I80" s="12"/>
      <c r="J80" s="14"/>
    </row>
    <row r="81" spans="1:10" x14ac:dyDescent="0.5">
      <c r="A81" s="12"/>
      <c r="B81" s="12">
        <v>-0.69314718055994529</v>
      </c>
      <c r="C81" s="12"/>
      <c r="D81" s="12"/>
      <c r="E81" s="12"/>
      <c r="F81" s="13">
        <v>-0.69314718055994529</v>
      </c>
      <c r="G81" s="12"/>
      <c r="H81" s="12"/>
      <c r="I81" s="12"/>
      <c r="J81" s="12"/>
    </row>
    <row r="82" spans="1:10" x14ac:dyDescent="0.5">
      <c r="A82" s="12"/>
      <c r="B82" s="12"/>
      <c r="C82" s="12"/>
      <c r="D82" s="12"/>
      <c r="E82" s="12"/>
      <c r="F82" s="12"/>
      <c r="G82" s="12"/>
      <c r="H82" s="12"/>
      <c r="I82" s="12"/>
      <c r="J82" s="12"/>
    </row>
    <row r="85" spans="1:10" x14ac:dyDescent="0.5">
      <c r="A85" s="10" t="s">
        <v>48</v>
      </c>
      <c r="B85" s="11" cm="1">
        <f t="array" ref="B85:C86">_xll.VECTOR_TOP_K(AIML_Test_Data!T2:T4,2,TRUE)</f>
        <v>2</v>
      </c>
      <c r="C85" s="12">
        <v>30</v>
      </c>
      <c r="D85" s="12"/>
      <c r="E85" s="12"/>
      <c r="F85" s="13">
        <v>2</v>
      </c>
      <c r="G85" s="13">
        <v>30</v>
      </c>
      <c r="H85" s="12"/>
      <c r="I85" s="12"/>
      <c r="J85" s="14"/>
    </row>
    <row r="86" spans="1:10" x14ac:dyDescent="0.5">
      <c r="A86" s="12"/>
      <c r="B86" s="12">
        <v>3</v>
      </c>
      <c r="C86" s="12">
        <v>20</v>
      </c>
      <c r="D86" s="12"/>
      <c r="E86" s="12"/>
      <c r="F86" s="13">
        <v>3</v>
      </c>
      <c r="G86" s="13">
        <v>20</v>
      </c>
      <c r="H86" s="12"/>
      <c r="I86" s="12"/>
      <c r="J86" s="12"/>
    </row>
    <row r="87" spans="1:10" x14ac:dyDescent="0.5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90" spans="1:10" x14ac:dyDescent="0.5">
      <c r="A90" s="10" t="s">
        <v>49</v>
      </c>
      <c r="B90" s="11" cm="1">
        <f t="array" ref="B90:C91">_xll.MATRIX_LINEAR_PREDICT(AIML_Test_Data!U2:V3,AIML_Test_Data!W2:X3,AIML_Test_Data!Y2:Z2)</f>
        <v>2</v>
      </c>
      <c r="C90" s="12">
        <v>5</v>
      </c>
      <c r="D90" s="12"/>
      <c r="E90" s="12"/>
      <c r="F90" s="13">
        <v>2</v>
      </c>
      <c r="G90" s="13">
        <v>5</v>
      </c>
      <c r="H90" s="12"/>
      <c r="I90" s="12"/>
      <c r="J90" s="14"/>
    </row>
    <row r="91" spans="1:10" x14ac:dyDescent="0.5">
      <c r="A91" s="12"/>
      <c r="B91" s="12">
        <v>4</v>
      </c>
      <c r="C91" s="12">
        <v>9</v>
      </c>
      <c r="D91" s="12"/>
      <c r="E91" s="12"/>
      <c r="F91" s="13">
        <v>4</v>
      </c>
      <c r="G91" s="13">
        <v>9</v>
      </c>
      <c r="H91" s="12"/>
      <c r="I91" s="12"/>
      <c r="J91" s="12"/>
    </row>
    <row r="92" spans="1:10" x14ac:dyDescent="0.5">
      <c r="A92" s="12"/>
      <c r="B92" s="12"/>
      <c r="C92" s="12"/>
      <c r="D92" s="12"/>
      <c r="E92" s="12"/>
      <c r="F92" s="12"/>
      <c r="G92" s="12"/>
      <c r="H92" s="12"/>
      <c r="I92" s="12"/>
      <c r="J92" s="12"/>
    </row>
    <row r="95" spans="1:10" x14ac:dyDescent="0.5">
      <c r="A95" s="10" t="s">
        <v>50</v>
      </c>
      <c r="B95" s="11" cm="1">
        <f t="array" ref="B95:C96">_xll.MATRIX_CORRELATION(AIML_Test_Data!P2:Q4)</f>
        <v>1</v>
      </c>
      <c r="C95" s="12">
        <v>1</v>
      </c>
      <c r="D95" s="12"/>
      <c r="E95" s="12"/>
      <c r="F95" s="13">
        <v>1</v>
      </c>
      <c r="G95" s="13">
        <v>1</v>
      </c>
      <c r="H95" s="12"/>
      <c r="I95" s="12"/>
      <c r="J95" s="14"/>
    </row>
    <row r="96" spans="1:10" x14ac:dyDescent="0.5">
      <c r="A96" s="12"/>
      <c r="B96" s="12">
        <v>1</v>
      </c>
      <c r="C96" s="12">
        <v>1</v>
      </c>
      <c r="D96" s="12"/>
      <c r="E96" s="12"/>
      <c r="F96" s="13">
        <v>1</v>
      </c>
      <c r="G96" s="13">
        <v>1</v>
      </c>
      <c r="H96" s="12"/>
      <c r="I96" s="12"/>
      <c r="J96" s="12"/>
    </row>
    <row r="97" spans="1:10" x14ac:dyDescent="0.5">
      <c r="A97" s="12"/>
      <c r="B97" s="12"/>
      <c r="C97" s="12"/>
      <c r="D97" s="12"/>
      <c r="E97" s="12"/>
      <c r="F97" s="12"/>
      <c r="G97" s="12"/>
      <c r="H97" s="12"/>
      <c r="I97" s="12"/>
      <c r="J97" s="12"/>
    </row>
    <row r="100" spans="1:10" x14ac:dyDescent="0.5">
      <c r="A100" s="10" t="s">
        <v>51</v>
      </c>
      <c r="B100" s="11" cm="1">
        <f t="array" ref="B100:C102">_xll.MATRIX_KMEANS_ASSIGN(AIML_Test_Data!AA2:AB4,AIML_Test_Data!AC2:AD3,"euclidean")</f>
        <v>1</v>
      </c>
      <c r="C100" s="12">
        <v>0</v>
      </c>
      <c r="D100" s="12"/>
      <c r="E100" s="12"/>
      <c r="F100" s="13">
        <v>1</v>
      </c>
      <c r="G100" s="13">
        <v>0</v>
      </c>
      <c r="H100" s="12"/>
      <c r="I100" s="12"/>
      <c r="J100" s="14"/>
    </row>
    <row r="101" spans="1:10" x14ac:dyDescent="0.5">
      <c r="A101" s="12"/>
      <c r="B101" s="12">
        <v>2</v>
      </c>
      <c r="C101" s="12">
        <v>1.4142135623730951</v>
      </c>
      <c r="D101" s="12"/>
      <c r="E101" s="12"/>
      <c r="F101" s="13">
        <v>2</v>
      </c>
      <c r="G101" s="13">
        <v>1.4142135623730949</v>
      </c>
      <c r="H101" s="12"/>
      <c r="I101" s="12"/>
      <c r="J101" s="12"/>
    </row>
    <row r="102" spans="1:10" x14ac:dyDescent="0.5">
      <c r="A102" s="12"/>
      <c r="B102" s="12">
        <v>1</v>
      </c>
      <c r="C102" s="12">
        <v>1.4142135623730951</v>
      </c>
      <c r="D102" s="12"/>
      <c r="E102" s="12"/>
      <c r="F102" s="13">
        <v>1</v>
      </c>
      <c r="G102" s="13">
        <v>1.4142135623730949</v>
      </c>
      <c r="H102" s="12"/>
      <c r="I102" s="12"/>
      <c r="J102" s="12"/>
    </row>
  </sheetData>
  <mergeCells count="2">
    <mergeCell ref="A1:J1"/>
    <mergeCell ref="A2:J2"/>
  </mergeCells>
  <conditionalFormatting sqref="J5:J105">
    <cfRule type="cellIs" dxfId="1" priority="1" operator="equal">
      <formula>TRUE</formula>
    </cfRule>
    <cfRule type="cellIs" dxfId="0" priority="2" operator="equal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"/>
  <sheetViews>
    <sheetView workbookViewId="0">
      <pane ySplit="1" topLeftCell="A2" activePane="bottomLeft" state="frozen"/>
      <selection pane="bottomLeft" activeCell="C2" sqref="C2"/>
    </sheetView>
  </sheetViews>
  <sheetFormatPr defaultRowHeight="14.35" x14ac:dyDescent="0.5"/>
  <cols>
    <col min="1" max="30" width="12" customWidth="1"/>
  </cols>
  <sheetData>
    <row r="1" spans="1:30" ht="18.350000000000001" x14ac:dyDescent="0.65">
      <c r="A1" s="7" t="s">
        <v>24</v>
      </c>
    </row>
    <row r="2" spans="1:30" x14ac:dyDescent="0.5">
      <c r="A2">
        <v>1</v>
      </c>
      <c r="B2">
        <v>4</v>
      </c>
      <c r="C2">
        <v>3</v>
      </c>
      <c r="D2">
        <v>1</v>
      </c>
      <c r="E2">
        <v>0</v>
      </c>
      <c r="F2">
        <v>1</v>
      </c>
      <c r="G2">
        <v>4</v>
      </c>
      <c r="H2">
        <v>0</v>
      </c>
      <c r="I2">
        <v>-2</v>
      </c>
      <c r="J2">
        <v>0</v>
      </c>
      <c r="K2">
        <v>3</v>
      </c>
      <c r="L2">
        <v>1</v>
      </c>
      <c r="M2">
        <v>10</v>
      </c>
      <c r="N2">
        <v>0</v>
      </c>
      <c r="O2">
        <v>0</v>
      </c>
      <c r="P2">
        <v>1</v>
      </c>
      <c r="Q2">
        <v>2</v>
      </c>
      <c r="R2" t="s">
        <v>25</v>
      </c>
      <c r="S2" t="s">
        <v>25</v>
      </c>
      <c r="T2">
        <v>10</v>
      </c>
      <c r="U2">
        <v>1</v>
      </c>
      <c r="V2">
        <v>2</v>
      </c>
      <c r="W2">
        <v>1</v>
      </c>
      <c r="X2">
        <v>0</v>
      </c>
      <c r="Y2">
        <v>1</v>
      </c>
      <c r="Z2">
        <v>1</v>
      </c>
      <c r="AA2">
        <v>0</v>
      </c>
      <c r="AB2">
        <v>0</v>
      </c>
      <c r="AC2">
        <v>0</v>
      </c>
      <c r="AD2">
        <v>0</v>
      </c>
    </row>
    <row r="3" spans="1:30" x14ac:dyDescent="0.5">
      <c r="A3">
        <v>2</v>
      </c>
      <c r="B3">
        <v>5</v>
      </c>
      <c r="C3">
        <v>4</v>
      </c>
      <c r="D3">
        <v>0</v>
      </c>
      <c r="E3">
        <v>1</v>
      </c>
      <c r="F3">
        <v>2</v>
      </c>
      <c r="G3">
        <v>6</v>
      </c>
      <c r="H3">
        <v>0</v>
      </c>
      <c r="L3">
        <v>2</v>
      </c>
      <c r="M3">
        <v>20</v>
      </c>
      <c r="N3">
        <v>3</v>
      </c>
      <c r="O3">
        <v>4</v>
      </c>
      <c r="P3">
        <v>2</v>
      </c>
      <c r="Q3">
        <v>4</v>
      </c>
      <c r="R3" t="s">
        <v>26</v>
      </c>
      <c r="S3" t="s">
        <v>25</v>
      </c>
      <c r="T3">
        <v>30</v>
      </c>
      <c r="U3">
        <v>3</v>
      </c>
      <c r="V3">
        <v>4</v>
      </c>
      <c r="W3">
        <v>0</v>
      </c>
      <c r="X3">
        <v>2</v>
      </c>
      <c r="AA3">
        <v>9</v>
      </c>
      <c r="AB3">
        <v>9</v>
      </c>
      <c r="AC3">
        <v>10</v>
      </c>
      <c r="AD3">
        <v>10</v>
      </c>
    </row>
    <row r="4" spans="1:30" x14ac:dyDescent="0.5">
      <c r="A4">
        <v>3</v>
      </c>
      <c r="B4">
        <v>6</v>
      </c>
      <c r="L4">
        <v>3</v>
      </c>
      <c r="M4">
        <v>30</v>
      </c>
      <c r="P4">
        <v>3</v>
      </c>
      <c r="Q4">
        <v>6</v>
      </c>
      <c r="R4" t="s">
        <v>25</v>
      </c>
      <c r="S4" t="s">
        <v>26</v>
      </c>
      <c r="T4">
        <v>20</v>
      </c>
      <c r="AA4">
        <v>1</v>
      </c>
      <c r="AB4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P782"/>
  <sheetViews>
    <sheetView tabSelected="1" zoomScale="50" zoomScaleNormal="50" workbookViewId="0">
      <pane ySplit="3" topLeftCell="A4" activePane="bottomLeft" state="frozen"/>
      <selection pane="bottomLeft" activeCell="B49" sqref="B49"/>
    </sheetView>
  </sheetViews>
  <sheetFormatPr defaultRowHeight="14.35" x14ac:dyDescent="0.5"/>
  <cols>
    <col min="1" max="1" width="24" customWidth="1"/>
    <col min="2" max="2" width="62" customWidth="1"/>
    <col min="3" max="3" width="62" style="27" customWidth="1"/>
    <col min="4" max="6" width="3" customWidth="1"/>
    <col min="7" max="7" width="42" style="27" customWidth="1"/>
    <col min="8" max="10" width="3" customWidth="1"/>
    <col min="11" max="11" width="16" customWidth="1"/>
  </cols>
  <sheetData>
    <row r="1" spans="1:11" ht="18.350000000000001" x14ac:dyDescent="0.65">
      <c r="A1" s="23" t="s">
        <v>71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42" customHeight="1" x14ac:dyDescent="0.5">
      <c r="A2" s="24" t="s">
        <v>72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x14ac:dyDescent="0.5">
      <c r="A3" s="15" t="s">
        <v>29</v>
      </c>
      <c r="B3" s="15" t="s">
        <v>73</v>
      </c>
      <c r="C3" s="25"/>
      <c r="D3" s="15"/>
      <c r="E3" s="15"/>
      <c r="F3" s="15"/>
      <c r="G3" s="25" t="s">
        <v>74</v>
      </c>
      <c r="H3" s="15"/>
      <c r="I3" s="15"/>
      <c r="J3" s="15"/>
      <c r="K3" s="15" t="str">
        <f ca="1">COUNTIF(K:K,"PASS")&amp;"/6 passed"</f>
        <v/>
      </c>
    </row>
    <row r="5" spans="1:11" x14ac:dyDescent="0.5">
      <c r="A5" s="16" t="s">
        <v>75</v>
      </c>
      <c r="B5" s="17" t="e" cm="1">
        <f t="array" ref="B5">_xll.LLM_CHAT("Reply with exactly OK",LLM_Test_Data!B4,LLM_Test_Data!B3,LLM_Test_Data!B7,"Return only OK",0,8,LLM_Test_Data!B2)</f>
        <v>#N/A</v>
      </c>
      <c r="C5" s="26"/>
      <c r="D5" s="18"/>
      <c r="E5" s="18"/>
      <c r="F5" s="18"/>
      <c r="G5" s="28" t="s">
        <v>76</v>
      </c>
      <c r="H5" s="18"/>
      <c r="I5" s="18"/>
      <c r="J5" s="18"/>
      <c r="K5" s="19" t="str">
        <f>IFERROR(IF(AND(B5&lt;&gt;"",LEFT(B5,10)&lt;&gt;"LLM_ERROR:"),"PASS","FAIL"),"WAIT")</f>
        <v>WAIT</v>
      </c>
    </row>
    <row r="10" spans="1:11" x14ac:dyDescent="0.5">
      <c r="A10" s="16" t="s">
        <v>77</v>
      </c>
      <c r="B10" s="17" t="str" cm="1">
        <f t="array" ref="B10">_xll.LLM_CHAT_IMAGE("Describe this one-pixel image briefly",LLM_Test_Data!B9,LLM_Test_Data!B5,"image/png",LLM_Test_Data!B3,LLM_Test_Data!B7,"Be concise",0,24,LLM_Test_Data!B2)</f>
        <v>LLM_ERROR: 404 Not Found: {"error":"model 'llava' not found"}</v>
      </c>
      <c r="C10" s="26"/>
      <c r="D10" s="18"/>
      <c r="E10" s="18"/>
      <c r="F10" s="18"/>
      <c r="G10" s="28" t="s">
        <v>78</v>
      </c>
      <c r="H10" s="18"/>
      <c r="I10" s="18"/>
      <c r="J10" s="18"/>
      <c r="K10" s="19" t="str">
        <f>IFERROR(IF(AND(B10&lt;&gt;"",LEFT(B10,10)&lt;&gt;"LLM_ERROR:"),"PASS","FAIL"),"WAIT")</f>
        <v>FAIL</v>
      </c>
    </row>
    <row r="15" spans="1:11" x14ac:dyDescent="0.5">
      <c r="A15" s="16" t="s">
        <v>79</v>
      </c>
      <c r="B15" s="17" cm="1">
        <f t="array" ref="B15:B782">_xll.LLM_EMBED("spreadsheet",LLM_Test_Data!B6,LLM_Test_Data!B3,LLM_Test_Data!B7,LLM_Test_Data!B2)</f>
        <v>5.2024513000000001E-2</v>
      </c>
      <c r="C15" s="26"/>
      <c r="D15" s="18"/>
      <c r="E15" s="18"/>
      <c r="F15" s="18"/>
      <c r="G15" s="28" t="s">
        <v>80</v>
      </c>
      <c r="H15" s="18"/>
      <c r="I15" s="18"/>
      <c r="J15" s="18"/>
      <c r="K15" s="19"/>
    </row>
    <row r="16" spans="1:11" x14ac:dyDescent="0.5">
      <c r="B16">
        <v>6.2736324999999996E-2</v>
      </c>
    </row>
    <row r="17" spans="1:770" x14ac:dyDescent="0.5">
      <c r="B17">
        <v>-0.17521682</v>
      </c>
      <c r="G17" s="28" t="s">
        <v>82</v>
      </c>
      <c r="K17" s="19"/>
    </row>
    <row r="18" spans="1:770" x14ac:dyDescent="0.5">
      <c r="A18" s="16" t="s">
        <v>81</v>
      </c>
      <c r="B18">
        <v>-4.0333040000000001E-2</v>
      </c>
      <c r="C18" s="26" cm="1">
        <f t="array" ref="C18:ACP20">_xll.LLM_EMBED_BATCH(LLM_Test_Data!A13:A15,LLM_Test_Data!B6,LLM_Test_Data!B3,LLM_Test_Data!B7,LLM_Test_Data!B2)</f>
        <v>4.7403615000000003E-2</v>
      </c>
      <c r="D18" s="18">
        <v>1.1431238999999999E-2</v>
      </c>
      <c r="E18" s="18">
        <v>-0.14393462000000001</v>
      </c>
      <c r="F18" s="18">
        <v>-3.6478183999999997E-2</v>
      </c>
      <c r="G18" s="27">
        <v>1.8121122999999999E-2</v>
      </c>
      <c r="H18" s="18">
        <v>-3.8377719999999997E-2</v>
      </c>
      <c r="I18" s="18">
        <v>-1.4611473E-2</v>
      </c>
      <c r="J18" s="18">
        <v>3.8663693999999998E-3</v>
      </c>
      <c r="K18">
        <v>-9.8330169999999995E-2</v>
      </c>
      <c r="L18">
        <v>-2.6709917999999999E-2</v>
      </c>
      <c r="M18">
        <v>-2.1885835999999998E-3</v>
      </c>
      <c r="N18">
        <v>3.2471260000000002E-2</v>
      </c>
      <c r="O18">
        <v>0.15390008999999999</v>
      </c>
      <c r="P18">
        <v>1.1762965E-3</v>
      </c>
      <c r="Q18">
        <v>-2.9468570999999998E-3</v>
      </c>
      <c r="R18">
        <v>3.6799024999999999E-2</v>
      </c>
      <c r="S18">
        <v>-7.7956150000000002E-2</v>
      </c>
      <c r="T18">
        <v>-3.7868199999999998E-2</v>
      </c>
      <c r="U18">
        <v>-3.2369450000000001E-2</v>
      </c>
      <c r="V18">
        <v>5.0257757E-2</v>
      </c>
      <c r="W18">
        <v>-4.6848940000000002E-3</v>
      </c>
      <c r="X18">
        <v>3.9808309999999998E-3</v>
      </c>
      <c r="Y18">
        <v>-2.6276273999999999E-2</v>
      </c>
      <c r="Z18">
        <v>-4.2871890000000003E-3</v>
      </c>
      <c r="AA18">
        <v>2.4927009999999999E-2</v>
      </c>
      <c r="AB18">
        <v>-1.5725428E-2</v>
      </c>
      <c r="AC18">
        <v>-5.3155765000000001E-2</v>
      </c>
      <c r="AD18">
        <v>-2.3679538E-2</v>
      </c>
      <c r="AE18">
        <v>6.0109880000000001E-3</v>
      </c>
      <c r="AF18">
        <v>4.2951573E-2</v>
      </c>
      <c r="AG18">
        <v>4.6566000000000003E-3</v>
      </c>
      <c r="AH18">
        <v>6.3494173999999997E-3</v>
      </c>
      <c r="AI18">
        <v>-3.1909654000000002E-3</v>
      </c>
      <c r="AJ18">
        <v>-7.1560780000000004E-2</v>
      </c>
      <c r="AK18">
        <v>-6.3863136000000001E-2</v>
      </c>
      <c r="AL18">
        <v>-8.4590370000000008E-3</v>
      </c>
      <c r="AM18">
        <v>5.6461379999999999E-2</v>
      </c>
      <c r="AN18">
        <v>-1.718049E-2</v>
      </c>
      <c r="AO18">
        <v>9.6835380000000002E-3</v>
      </c>
      <c r="AP18">
        <v>4.9855389999999999E-2</v>
      </c>
      <c r="AQ18">
        <v>-2.5161271999999998E-2</v>
      </c>
      <c r="AR18">
        <v>-1.0122826999999999E-2</v>
      </c>
      <c r="AS18">
        <v>-5.7246242999999999E-3</v>
      </c>
      <c r="AT18">
        <v>1.7510932000000001E-3</v>
      </c>
      <c r="AU18">
        <v>5.0122305999999998E-2</v>
      </c>
      <c r="AV18">
        <v>3.6120436999999998E-2</v>
      </c>
      <c r="AW18">
        <v>1.4910786000000001E-3</v>
      </c>
      <c r="AX18">
        <v>-2.8418554E-3</v>
      </c>
      <c r="AY18">
        <v>5.3367972E-2</v>
      </c>
      <c r="AZ18">
        <v>-5.335635E-3</v>
      </c>
      <c r="BA18">
        <v>-2.0731466E-2</v>
      </c>
      <c r="BB18">
        <v>9.6701689999999993E-3</v>
      </c>
      <c r="BC18">
        <v>6.1091729999999997E-2</v>
      </c>
      <c r="BD18">
        <v>5.1031550000000002E-2</v>
      </c>
      <c r="BE18">
        <v>-2.4032278000000001E-2</v>
      </c>
      <c r="BF18">
        <v>7.8823309999999994E-3</v>
      </c>
      <c r="BG18">
        <v>-3.4156303999999998E-2</v>
      </c>
      <c r="BH18">
        <v>-1.8368509000000002E-2</v>
      </c>
      <c r="BI18">
        <v>-7.7710824999999996E-4</v>
      </c>
      <c r="BJ18">
        <v>-1.4606186E-2</v>
      </c>
      <c r="BK18">
        <v>0.14560513</v>
      </c>
      <c r="BL18">
        <v>5.4591040000000002E-3</v>
      </c>
      <c r="BM18">
        <v>-4.1346463999999999E-2</v>
      </c>
      <c r="BN18">
        <v>5.9962257999999997E-2</v>
      </c>
      <c r="BO18">
        <v>2.6982487999999999E-2</v>
      </c>
      <c r="BP18">
        <v>1.2570045E-2</v>
      </c>
      <c r="BQ18">
        <v>-2.4206074000000001E-2</v>
      </c>
      <c r="BR18">
        <v>4.0387965999999997E-2</v>
      </c>
      <c r="BS18">
        <v>-2.5176054E-2</v>
      </c>
      <c r="BT18">
        <v>-3.5436563000000002E-3</v>
      </c>
      <c r="BU18">
        <v>3.8907852E-2</v>
      </c>
      <c r="BV18">
        <v>2.0036722999999999E-2</v>
      </c>
      <c r="BW18">
        <v>3.0339270000000002E-2</v>
      </c>
      <c r="BX18">
        <v>4.1937990000000001E-2</v>
      </c>
      <c r="BY18">
        <v>-3.2515745999999998E-2</v>
      </c>
      <c r="BZ18">
        <v>-3.505167E-2</v>
      </c>
      <c r="CA18">
        <v>-4.4584117999999999E-2</v>
      </c>
      <c r="CB18">
        <v>-2.1835259999999999E-2</v>
      </c>
      <c r="CC18">
        <v>-1.6602285000000001E-2</v>
      </c>
      <c r="CD18">
        <v>4.0945027000000002E-2</v>
      </c>
      <c r="CE18">
        <v>2.1563117999999999E-2</v>
      </c>
      <c r="CF18">
        <v>2.5579965E-2</v>
      </c>
      <c r="CG18">
        <v>7.8955813999999999E-2</v>
      </c>
      <c r="CH18">
        <v>-9.7934470000000003E-3</v>
      </c>
      <c r="CI18">
        <v>6.0078873999999997E-2</v>
      </c>
      <c r="CJ18">
        <v>-2.0253487000000001E-2</v>
      </c>
      <c r="CK18">
        <v>-8.4932770000000005E-2</v>
      </c>
      <c r="CL18">
        <v>-5.8376610000000002E-2</v>
      </c>
      <c r="CM18">
        <v>-3.3396809999999999E-2</v>
      </c>
      <c r="CN18">
        <v>9.6361069999999993E-2</v>
      </c>
      <c r="CO18">
        <v>-2.0456881999999999E-2</v>
      </c>
      <c r="CP18">
        <v>-2.0172139999999998E-3</v>
      </c>
      <c r="CQ18">
        <v>4.9557675000000002E-2</v>
      </c>
      <c r="CR18">
        <v>4.6286880000000002E-4</v>
      </c>
      <c r="CS18">
        <v>-6.2251309999999997E-2</v>
      </c>
      <c r="CT18">
        <v>7.6485025000000003E-3</v>
      </c>
      <c r="CU18">
        <v>2.1829474999999999E-3</v>
      </c>
      <c r="CV18">
        <v>-2.4614035999999999E-2</v>
      </c>
      <c r="CW18">
        <v>-5.2646430000000001E-2</v>
      </c>
      <c r="CX18">
        <v>-1.9316837E-2</v>
      </c>
      <c r="CY18">
        <v>-8.8172145E-3</v>
      </c>
      <c r="CZ18">
        <v>-2.2581540000000001E-2</v>
      </c>
      <c r="DA18">
        <v>1.7960027E-2</v>
      </c>
      <c r="DB18">
        <v>-3.5189039999999998E-2</v>
      </c>
      <c r="DC18">
        <v>4.1909292000000001E-2</v>
      </c>
      <c r="DD18">
        <v>3.4621045000000003E-2</v>
      </c>
      <c r="DE18">
        <v>2.1754580999999999E-2</v>
      </c>
      <c r="DF18">
        <v>-2.4285350000000001E-2</v>
      </c>
      <c r="DG18">
        <v>1.3139216E-2</v>
      </c>
      <c r="DH18">
        <v>4.9870650000000002E-2</v>
      </c>
      <c r="DI18">
        <v>3.7744779999999999E-2</v>
      </c>
      <c r="DJ18">
        <v>7.8820200000000007E-2</v>
      </c>
      <c r="DK18">
        <v>-5.5865730000000002E-2</v>
      </c>
      <c r="DL18">
        <v>2.8261727E-2</v>
      </c>
      <c r="DM18">
        <v>-3.804565E-2</v>
      </c>
      <c r="DN18">
        <v>-5.2951284000000001E-2</v>
      </c>
      <c r="DO18">
        <v>2.2075846999999999E-2</v>
      </c>
      <c r="DP18">
        <v>-5.8892110000000001E-3</v>
      </c>
      <c r="DQ18">
        <v>2.9391740999999999E-2</v>
      </c>
      <c r="DR18">
        <v>2.5461109999999999E-2</v>
      </c>
      <c r="DS18">
        <v>1.7815233999999999E-2</v>
      </c>
      <c r="DT18">
        <v>-4.2897165000000001E-2</v>
      </c>
      <c r="DU18">
        <v>5.154685E-3</v>
      </c>
      <c r="DV18">
        <v>3.0957885000000001E-2</v>
      </c>
      <c r="DW18">
        <v>-1.3516813999999999E-3</v>
      </c>
      <c r="DX18">
        <v>4.5654095999999998E-2</v>
      </c>
      <c r="DY18">
        <v>-5.4752747999999999E-3</v>
      </c>
      <c r="DZ18">
        <v>2.3219014999999999E-2</v>
      </c>
      <c r="EA18">
        <v>2.4757142999999999E-2</v>
      </c>
      <c r="EB18">
        <v>-6.9772559999999997E-2</v>
      </c>
      <c r="EC18">
        <v>-1.0148308E-2</v>
      </c>
      <c r="ED18">
        <v>1.6279641E-3</v>
      </c>
      <c r="EE18">
        <v>-8.660081E-3</v>
      </c>
      <c r="EF18">
        <v>3.1729117000000001E-2</v>
      </c>
      <c r="EG18">
        <v>4.166508E-2</v>
      </c>
      <c r="EH18">
        <v>5.5218462000000003E-2</v>
      </c>
      <c r="EI18">
        <v>-2.9739760000000001E-2</v>
      </c>
      <c r="EJ18">
        <v>-7.9156239999999996E-3</v>
      </c>
      <c r="EK18">
        <v>2.2557733999999999E-2</v>
      </c>
      <c r="EL18">
        <v>1.5446605E-2</v>
      </c>
      <c r="EM18">
        <v>-1.1673968E-2</v>
      </c>
      <c r="EN18">
        <v>7.3209319999999996E-3</v>
      </c>
      <c r="EO18">
        <v>4.5349120000000003E-3</v>
      </c>
      <c r="EP18">
        <v>-7.4677462999999996E-3</v>
      </c>
      <c r="EQ18">
        <v>2.1448687000000001E-2</v>
      </c>
      <c r="ER18">
        <v>-1.5570918E-2</v>
      </c>
      <c r="ES18">
        <v>8.4849049999999992E-3</v>
      </c>
      <c r="ET18">
        <v>2.5248658E-2</v>
      </c>
      <c r="EU18">
        <v>5.4163113000000001E-4</v>
      </c>
      <c r="EV18">
        <v>3.4528221999999997E-2</v>
      </c>
      <c r="EW18">
        <v>-6.2387060000000001E-3</v>
      </c>
      <c r="EX18">
        <v>4.3686892999999997E-2</v>
      </c>
      <c r="EY18">
        <v>-3.8451220000000001E-2</v>
      </c>
      <c r="EZ18">
        <v>-1.3559541E-2</v>
      </c>
      <c r="FA18">
        <v>3.3593791999999997E-2</v>
      </c>
      <c r="FB18">
        <v>7.5273800000000002E-3</v>
      </c>
      <c r="FC18">
        <v>-4.7538746E-2</v>
      </c>
      <c r="FD18">
        <v>-2.8250875000000002E-2</v>
      </c>
      <c r="FE18">
        <v>6.4201830000000001E-2</v>
      </c>
      <c r="FF18">
        <v>-1.591269E-2</v>
      </c>
      <c r="FG18">
        <v>3.4145496999999997E-2</v>
      </c>
      <c r="FH18">
        <v>-4.0623270000000003E-2</v>
      </c>
      <c r="FI18">
        <v>-2.2997888000000001E-2</v>
      </c>
      <c r="FJ18">
        <v>3.9093435000000003E-2</v>
      </c>
      <c r="FK18">
        <v>-1.9488947E-2</v>
      </c>
      <c r="FL18">
        <v>-6.7723124999999995E-2</v>
      </c>
      <c r="FM18">
        <v>5.5418820000000001E-2</v>
      </c>
      <c r="FN18">
        <v>8.6077440000000005E-2</v>
      </c>
      <c r="FO18">
        <v>3.7233102999999997E-2</v>
      </c>
      <c r="FP18">
        <v>4.3008092999999997E-2</v>
      </c>
      <c r="FQ18">
        <v>-4.2732346999999997E-2</v>
      </c>
      <c r="FR18">
        <v>-1.1492501E-2</v>
      </c>
      <c r="FS18">
        <v>3.3602533000000002E-3</v>
      </c>
      <c r="FT18">
        <v>-3.5829543999999998E-2</v>
      </c>
      <c r="FU18">
        <v>2.9666714E-2</v>
      </c>
      <c r="FV18">
        <v>1.6328362999999999E-2</v>
      </c>
      <c r="FW18">
        <v>2.9903085999999999E-2</v>
      </c>
      <c r="FX18">
        <v>-1.9106522000000001E-2</v>
      </c>
      <c r="FY18">
        <v>7.6475730000000006E-2</v>
      </c>
      <c r="FZ18">
        <v>-1.7918659999999999E-2</v>
      </c>
      <c r="GA18">
        <v>2.8021177000000001E-2</v>
      </c>
      <c r="GB18">
        <v>-1.2762624E-2</v>
      </c>
      <c r="GC18">
        <v>2.6988386999999999E-2</v>
      </c>
      <c r="GD18">
        <v>-1.9383654E-2</v>
      </c>
      <c r="GE18">
        <v>3.1013919000000001E-2</v>
      </c>
      <c r="GF18">
        <v>-3.4358380000000001E-2</v>
      </c>
      <c r="GG18">
        <v>-1.8353358E-2</v>
      </c>
      <c r="GH18">
        <v>3.9771649999999999E-2</v>
      </c>
      <c r="GI18">
        <v>-3.1264726E-2</v>
      </c>
      <c r="GJ18">
        <v>-5.1812509999999999E-2</v>
      </c>
      <c r="GK18">
        <v>5.7469369999999997E-3</v>
      </c>
      <c r="GL18">
        <v>1.081492E-2</v>
      </c>
      <c r="GM18">
        <v>-7.2815514999999997E-2</v>
      </c>
      <c r="GN18">
        <v>-4.1084352999999997E-2</v>
      </c>
      <c r="GO18">
        <v>-8.5721249999999999E-3</v>
      </c>
      <c r="GP18">
        <v>-3.1804323000000002E-2</v>
      </c>
      <c r="GQ18">
        <v>1.6891992000000002E-2</v>
      </c>
      <c r="GR18">
        <v>-9.0667349999999994E-3</v>
      </c>
      <c r="GS18">
        <v>1.7515322E-2</v>
      </c>
      <c r="GT18">
        <v>-4.0897876E-2</v>
      </c>
      <c r="GU18">
        <v>-9.6940719999999998E-3</v>
      </c>
      <c r="GV18">
        <v>-4.5327529999999998E-2</v>
      </c>
      <c r="GW18">
        <v>-1.881056E-2</v>
      </c>
      <c r="GX18">
        <v>9.7119979999999995E-3</v>
      </c>
      <c r="GY18">
        <v>-7.5422230000000007E-2</v>
      </c>
      <c r="GZ18">
        <v>2.815256E-2</v>
      </c>
      <c r="HA18">
        <v>2.0567937000000001E-2</v>
      </c>
      <c r="HB18">
        <v>1.5465744999999999E-2</v>
      </c>
      <c r="HC18">
        <v>1.9843573E-2</v>
      </c>
      <c r="HD18">
        <v>3.2456707000000001E-2</v>
      </c>
      <c r="HE18">
        <v>2.7002323000000002E-2</v>
      </c>
      <c r="HF18">
        <v>1.3589357999999999E-2</v>
      </c>
      <c r="HG18">
        <v>-1.2429116E-2</v>
      </c>
      <c r="HH18">
        <v>-1.702654E-2</v>
      </c>
      <c r="HI18">
        <v>2.0758746000000002E-2</v>
      </c>
      <c r="HJ18">
        <v>-1.7033659999999999E-2</v>
      </c>
      <c r="HK18">
        <v>-1.7603199999999999E-2</v>
      </c>
      <c r="HL18">
        <v>-3.434595E-2</v>
      </c>
      <c r="HM18">
        <v>2.3531664000000001E-2</v>
      </c>
      <c r="HN18">
        <v>2.574794E-2</v>
      </c>
      <c r="HO18">
        <v>1.1517054000000001E-2</v>
      </c>
      <c r="HP18">
        <v>-3.7119978000000001E-3</v>
      </c>
      <c r="HQ18">
        <v>5.4278756999999997E-2</v>
      </c>
      <c r="HR18">
        <v>-3.7830225000000002E-3</v>
      </c>
      <c r="HS18">
        <v>2.7991945000000001E-2</v>
      </c>
      <c r="HT18">
        <v>-9.0254770000000005E-3</v>
      </c>
      <c r="HU18">
        <v>-2.7591119000000001E-2</v>
      </c>
      <c r="HV18">
        <v>2.5136883000000001E-3</v>
      </c>
      <c r="HW18">
        <v>-3.9100639999999999E-2</v>
      </c>
      <c r="HX18">
        <v>2.4259828E-3</v>
      </c>
      <c r="HY18">
        <v>-5.4324374000000002E-2</v>
      </c>
      <c r="HZ18">
        <v>-1.8780808999999999E-2</v>
      </c>
      <c r="IA18">
        <v>3.857323E-2</v>
      </c>
      <c r="IB18">
        <v>-2.0569580000000001E-2</v>
      </c>
      <c r="IC18">
        <v>1.4055714E-2</v>
      </c>
      <c r="ID18">
        <v>-3.5758684999999998E-2</v>
      </c>
      <c r="IE18">
        <v>-6.6473189999999996E-3</v>
      </c>
      <c r="IF18">
        <v>5.3643953000000001E-2</v>
      </c>
      <c r="IG18">
        <v>1.6737495000000002E-2</v>
      </c>
      <c r="IH18">
        <v>2.8587870000000001E-2</v>
      </c>
      <c r="II18">
        <v>-4.6941856999999998E-3</v>
      </c>
      <c r="IJ18">
        <v>3.4020300000000003E-2</v>
      </c>
      <c r="IK18">
        <v>-3.6236773999999999E-2</v>
      </c>
      <c r="IL18">
        <v>-9.1499779999999996E-3</v>
      </c>
      <c r="IM18">
        <v>-4.5899969999999998E-2</v>
      </c>
      <c r="IN18">
        <v>-2.8085091999999999E-2</v>
      </c>
      <c r="IO18">
        <v>1.1051357E-2</v>
      </c>
      <c r="IP18">
        <v>-2.071514E-2</v>
      </c>
      <c r="IQ18">
        <v>4.2134765999999997E-2</v>
      </c>
      <c r="IR18">
        <v>6.7715979999999995E-2</v>
      </c>
      <c r="IS18">
        <v>2.0398372000000001E-3</v>
      </c>
      <c r="IT18">
        <v>5.2971850000000003E-3</v>
      </c>
      <c r="IU18">
        <v>-2.1571111999999998E-3</v>
      </c>
      <c r="IV18">
        <v>5.3529880000000002E-2</v>
      </c>
      <c r="IW18">
        <v>1.1767012E-2</v>
      </c>
      <c r="IX18">
        <v>-1.2873944999999999E-2</v>
      </c>
      <c r="IY18">
        <v>-2.0987649000000001E-2</v>
      </c>
      <c r="IZ18">
        <v>-5.4869073999999997E-2</v>
      </c>
      <c r="JA18">
        <v>2.0052837E-2</v>
      </c>
      <c r="JB18">
        <v>2.1379301E-2</v>
      </c>
      <c r="JC18">
        <v>3.6696977999999998E-2</v>
      </c>
      <c r="JD18">
        <v>1.0186664E-2</v>
      </c>
      <c r="JE18">
        <v>7.3732870000000006E-2</v>
      </c>
      <c r="JF18">
        <v>-1.2870846999999999E-2</v>
      </c>
      <c r="JG18">
        <v>4.8207453999999997E-2</v>
      </c>
      <c r="JH18">
        <v>-4.3742853999999998E-2</v>
      </c>
      <c r="JI18">
        <v>-1.0359637999999999E-2</v>
      </c>
      <c r="JJ18">
        <v>1.4876922000000001E-2</v>
      </c>
      <c r="JK18">
        <v>-1.587937E-2</v>
      </c>
      <c r="JL18">
        <v>1.926721E-2</v>
      </c>
      <c r="JM18">
        <v>8.1610869999999992E-3</v>
      </c>
      <c r="JN18">
        <v>-1.2907182999999999E-2</v>
      </c>
      <c r="JO18">
        <v>3.8083140000000001E-2</v>
      </c>
      <c r="JP18">
        <v>-1.5025505999999999E-2</v>
      </c>
      <c r="JQ18">
        <v>-5.6506917E-3</v>
      </c>
      <c r="JR18">
        <v>2.8796539999999999E-2</v>
      </c>
      <c r="JS18">
        <v>-1.4453739E-2</v>
      </c>
      <c r="JT18">
        <v>-3.6712794000000001E-3</v>
      </c>
      <c r="JU18">
        <v>-1.0416198999999999E-2</v>
      </c>
      <c r="JV18">
        <v>-3.1165633999999998E-3</v>
      </c>
      <c r="JW18">
        <v>-5.1338643000000003E-2</v>
      </c>
      <c r="JX18">
        <v>-0.11383693</v>
      </c>
      <c r="JY18">
        <v>-5.7819452E-2</v>
      </c>
      <c r="JZ18">
        <v>-8.9534579999999992E-3</v>
      </c>
      <c r="KA18">
        <v>-3.7659746000000001E-2</v>
      </c>
      <c r="KB18">
        <v>5.9644163E-2</v>
      </c>
      <c r="KC18">
        <v>1.0360059000000001E-3</v>
      </c>
      <c r="KD18">
        <v>-3.8005814000000001E-3</v>
      </c>
      <c r="KE18">
        <v>3.2346630000000001E-2</v>
      </c>
      <c r="KF18">
        <v>9.8046590000000003E-3</v>
      </c>
      <c r="KG18">
        <v>3.2243222000000002E-2</v>
      </c>
      <c r="KH18">
        <v>-3.1151210000000002E-3</v>
      </c>
      <c r="KI18">
        <v>-1.4443433E-2</v>
      </c>
      <c r="KJ18">
        <v>-1.6721139999999999E-2</v>
      </c>
      <c r="KK18">
        <v>-2.6759047E-3</v>
      </c>
      <c r="KL18">
        <v>-2.4170745E-2</v>
      </c>
      <c r="KM18">
        <v>9.1845415999999999E-2</v>
      </c>
      <c r="KN18">
        <v>6.2221073000000002E-2</v>
      </c>
      <c r="KO18">
        <v>3.4990760000000003E-2</v>
      </c>
      <c r="KP18">
        <v>-3.1851009999999999E-2</v>
      </c>
      <c r="KQ18">
        <v>8.7330889999999994E-3</v>
      </c>
      <c r="KR18">
        <v>3.9778538000000002E-2</v>
      </c>
      <c r="KS18">
        <v>4.0410187E-2</v>
      </c>
      <c r="KT18">
        <v>-5.2226106999999997E-3</v>
      </c>
      <c r="KU18">
        <v>6.3529494000000002E-3</v>
      </c>
      <c r="KV18">
        <v>2.1906755999999999E-2</v>
      </c>
      <c r="KW18">
        <v>3.8556001999999999E-2</v>
      </c>
      <c r="KX18">
        <v>-3.7175751999999999E-2</v>
      </c>
      <c r="KY18">
        <v>3.7649034999999997E-2</v>
      </c>
      <c r="KZ18">
        <v>-2.1172669000000002E-2</v>
      </c>
      <c r="LA18">
        <v>-2.4400521000000001E-2</v>
      </c>
      <c r="LB18">
        <v>1.4902959E-2</v>
      </c>
      <c r="LC18">
        <v>-2.4365129999999999E-2</v>
      </c>
      <c r="LD18">
        <v>3.1161698000000002E-2</v>
      </c>
      <c r="LE18">
        <v>-2.3067801999999998E-2</v>
      </c>
      <c r="LF18">
        <v>4.6816495999999997E-3</v>
      </c>
      <c r="LG18">
        <v>-1.3626973000000001E-2</v>
      </c>
      <c r="LH18">
        <v>3.3213433000000001E-2</v>
      </c>
      <c r="LI18">
        <v>3.5288504999999998E-2</v>
      </c>
      <c r="LJ18">
        <v>-2.1556512999999999E-2</v>
      </c>
      <c r="LK18">
        <v>-9.0192810000000005E-3</v>
      </c>
      <c r="LL18">
        <v>-5.7515030000000002E-2</v>
      </c>
      <c r="LM18">
        <v>-3.293364E-2</v>
      </c>
      <c r="LN18">
        <v>-6.5989055000000005E-2</v>
      </c>
      <c r="LO18">
        <v>-1.5968103000000001E-2</v>
      </c>
      <c r="LP18">
        <v>5.6508462999999998E-3</v>
      </c>
      <c r="LQ18">
        <v>-1.1505868000000001E-2</v>
      </c>
      <c r="LR18">
        <v>1.6587886E-3</v>
      </c>
      <c r="LS18">
        <v>-3.0861139999999999E-2</v>
      </c>
      <c r="LT18">
        <v>-6.883068E-3</v>
      </c>
      <c r="LU18">
        <v>6.1979536000000002E-3</v>
      </c>
      <c r="LV18">
        <v>1.3285633999999999E-2</v>
      </c>
      <c r="LW18">
        <v>2.6714954999999999E-2</v>
      </c>
      <c r="LX18">
        <v>-2.0979865E-2</v>
      </c>
      <c r="LY18">
        <v>-3.4967035E-2</v>
      </c>
      <c r="LZ18">
        <v>-1.82422E-2</v>
      </c>
      <c r="MA18">
        <v>3.4709570000000002E-2</v>
      </c>
      <c r="MB18">
        <v>-6.3490169999999999E-2</v>
      </c>
      <c r="MC18">
        <v>-2.2210304E-2</v>
      </c>
      <c r="MD18">
        <v>5.4258537000000003E-2</v>
      </c>
      <c r="ME18">
        <v>3.1909387999999997E-2</v>
      </c>
      <c r="MF18">
        <v>-2.2017559999999999E-2</v>
      </c>
      <c r="MG18">
        <v>7.3478220000000004E-3</v>
      </c>
      <c r="MH18">
        <v>-5.8196563E-2</v>
      </c>
      <c r="MI18">
        <v>-2.0804751999999999E-2</v>
      </c>
      <c r="MJ18">
        <v>-3.7820636999999998E-3</v>
      </c>
      <c r="MK18">
        <v>-4.3468989999999999E-2</v>
      </c>
      <c r="ML18">
        <v>-1.5785701999999999E-2</v>
      </c>
      <c r="MM18">
        <v>1.3255296E-2</v>
      </c>
      <c r="MN18">
        <v>1.1511797000000001E-2</v>
      </c>
      <c r="MO18">
        <v>-3.5752352000000001E-2</v>
      </c>
      <c r="MP18">
        <v>-2.6794774E-2</v>
      </c>
      <c r="MQ18">
        <v>1.5894822999999999E-2</v>
      </c>
      <c r="MR18">
        <v>2.2308703999999999E-2</v>
      </c>
      <c r="MS18">
        <v>4.8758074999999998E-2</v>
      </c>
      <c r="MT18">
        <v>-2.061122E-2</v>
      </c>
      <c r="MU18">
        <v>-7.0107155000000004E-3</v>
      </c>
      <c r="MV18">
        <v>-6.1618860000000001E-3</v>
      </c>
      <c r="MW18">
        <v>4.9842815999999998E-2</v>
      </c>
      <c r="MX18">
        <v>7.1052229999999999E-3</v>
      </c>
      <c r="MY18">
        <v>5.8135180000000002E-3</v>
      </c>
      <c r="MZ18">
        <v>-4.7772149999999996E-3</v>
      </c>
      <c r="NA18">
        <v>3.9853333000000003E-3</v>
      </c>
      <c r="NB18">
        <v>1.7261555000000001E-2</v>
      </c>
      <c r="NC18">
        <v>-2.8892012000000002E-2</v>
      </c>
      <c r="ND18">
        <v>-5.7542636000000001E-3</v>
      </c>
      <c r="NE18">
        <v>6.0775504000000001E-2</v>
      </c>
      <c r="NF18">
        <v>6.0324570000000001E-2</v>
      </c>
      <c r="NG18">
        <v>5.3974910000000001E-2</v>
      </c>
      <c r="NH18">
        <v>5.9567250000000004E-3</v>
      </c>
      <c r="NI18">
        <v>2.8896150999999998E-2</v>
      </c>
      <c r="NJ18">
        <v>2.3231308999999999E-4</v>
      </c>
      <c r="NK18">
        <v>4.2891458E-2</v>
      </c>
      <c r="NL18">
        <v>5.0128084000000003E-2</v>
      </c>
      <c r="NM18">
        <v>-5.6481715000000002E-3</v>
      </c>
      <c r="NN18">
        <v>2.7712509999999999E-2</v>
      </c>
      <c r="NO18">
        <v>-6.8501755999999997E-2</v>
      </c>
      <c r="NP18">
        <v>-2.5123466000000001E-2</v>
      </c>
      <c r="NQ18">
        <v>1.6714389E-2</v>
      </c>
      <c r="NR18">
        <v>4.8978227999999999E-2</v>
      </c>
      <c r="NS18">
        <v>1.2158462E-2</v>
      </c>
      <c r="NT18">
        <v>1.1392293E-2</v>
      </c>
      <c r="NU18">
        <v>2.2870293E-2</v>
      </c>
      <c r="NV18">
        <v>-2.7660734999999999E-2</v>
      </c>
      <c r="NW18">
        <v>3.4605306000000002E-2</v>
      </c>
      <c r="NX18">
        <v>-2.7325794E-2</v>
      </c>
      <c r="NY18">
        <v>3.4537909999999998E-2</v>
      </c>
      <c r="NZ18">
        <v>-4.8271497E-3</v>
      </c>
      <c r="OA18">
        <v>2.0621508E-2</v>
      </c>
      <c r="OB18">
        <v>2.0679960000000001E-2</v>
      </c>
      <c r="OC18">
        <v>-3.6296586999999998E-2</v>
      </c>
      <c r="OD18">
        <v>-9.3868679999999996E-3</v>
      </c>
      <c r="OE18">
        <v>-5.6835398000000002E-2</v>
      </c>
      <c r="OF18">
        <v>4.0992613999999997E-2</v>
      </c>
      <c r="OG18">
        <v>-2.3559751E-2</v>
      </c>
      <c r="OH18">
        <v>-1.9309137000000001E-2</v>
      </c>
      <c r="OI18">
        <v>2.6573189999999999E-4</v>
      </c>
      <c r="OJ18">
        <v>8.2869680000000001E-2</v>
      </c>
      <c r="OK18">
        <v>3.359678E-2</v>
      </c>
      <c r="OL18">
        <v>2.1877392999999998E-2</v>
      </c>
      <c r="OM18">
        <v>-2.6818310000000001E-2</v>
      </c>
      <c r="ON18">
        <v>-4.3575134000000001E-2</v>
      </c>
      <c r="OO18">
        <v>5.4175713999999996E-3</v>
      </c>
      <c r="OP18">
        <v>-3.8665615E-2</v>
      </c>
      <c r="OQ18">
        <v>-3.8042990000000001E-3</v>
      </c>
      <c r="OR18">
        <v>-1.9001994000000001E-2</v>
      </c>
      <c r="OS18">
        <v>-4.0581573000000003E-2</v>
      </c>
      <c r="OT18">
        <v>-3.6731209000000001E-3</v>
      </c>
      <c r="OU18">
        <v>5.1097947999999997E-2</v>
      </c>
      <c r="OV18">
        <v>-2.645664E-2</v>
      </c>
      <c r="OW18">
        <v>1.0162824000000001E-2</v>
      </c>
      <c r="OX18">
        <v>3.0709167000000002E-3</v>
      </c>
      <c r="OY18">
        <v>-5.4252120000000001E-2</v>
      </c>
      <c r="OZ18">
        <v>-4.4017094999999999E-2</v>
      </c>
      <c r="PA18">
        <v>2.8120671999999999E-2</v>
      </c>
      <c r="PB18">
        <v>-3.8642436000000002E-2</v>
      </c>
      <c r="PC18">
        <v>3.3187217999999997E-2</v>
      </c>
      <c r="PD18">
        <v>2.0082462999999998E-2</v>
      </c>
      <c r="PE18">
        <v>-5.1077930000000001E-2</v>
      </c>
      <c r="PF18">
        <v>2.1000181999999999E-2</v>
      </c>
      <c r="PG18">
        <v>4.0100213000000003E-2</v>
      </c>
      <c r="PH18">
        <v>1.7631951999999999E-2</v>
      </c>
      <c r="PI18">
        <v>-4.7757269999999998E-2</v>
      </c>
      <c r="PJ18">
        <v>-1.5962783000000001E-2</v>
      </c>
      <c r="PK18">
        <v>-3.1818077E-2</v>
      </c>
      <c r="PL18">
        <v>-1.5943420999999999E-2</v>
      </c>
      <c r="PM18">
        <v>3.7830950000000002E-2</v>
      </c>
      <c r="PN18">
        <v>3.1506060000000002E-2</v>
      </c>
      <c r="PO18">
        <v>4.67283E-2</v>
      </c>
      <c r="PP18">
        <v>-5.7873769999999998E-2</v>
      </c>
      <c r="PQ18">
        <v>3.6680355999999997E-2</v>
      </c>
      <c r="PR18">
        <v>2.0833305999999999E-2</v>
      </c>
      <c r="PS18">
        <v>3.3192343999999999E-2</v>
      </c>
      <c r="PT18">
        <v>1.7064704999999999E-2</v>
      </c>
      <c r="PU18">
        <v>-2.0624224E-2</v>
      </c>
      <c r="PV18">
        <v>1.2761935E-2</v>
      </c>
      <c r="PW18">
        <v>2.4483250000000002E-2</v>
      </c>
      <c r="PX18">
        <v>-1.6951540000000001E-2</v>
      </c>
      <c r="PY18">
        <v>1.1529049E-2</v>
      </c>
      <c r="PZ18">
        <v>-3.0976857999999999E-2</v>
      </c>
      <c r="QA18">
        <v>3.6104879999999998E-3</v>
      </c>
      <c r="QB18">
        <v>-8.7236729999999998E-2</v>
      </c>
      <c r="QC18">
        <v>1.4541325000000001E-3</v>
      </c>
      <c r="QD18">
        <v>-1.4437823000000001E-2</v>
      </c>
      <c r="QE18">
        <v>1.0927694999999999E-2</v>
      </c>
      <c r="QF18">
        <v>9.0727039999999995E-2</v>
      </c>
      <c r="QG18">
        <v>3.4144327000000002E-2</v>
      </c>
      <c r="QH18">
        <v>-3.2789065999999999E-2</v>
      </c>
      <c r="QI18">
        <v>-6.1097119999999998E-2</v>
      </c>
      <c r="QJ18">
        <v>5.9443794000000001E-2</v>
      </c>
      <c r="QK18">
        <v>1.4434315E-2</v>
      </c>
      <c r="QL18">
        <v>-4.1335932999999998E-2</v>
      </c>
      <c r="QM18">
        <v>1.0136200999999999E-2</v>
      </c>
      <c r="QN18">
        <v>1.2454088E-2</v>
      </c>
      <c r="QO18">
        <v>0.1179395</v>
      </c>
      <c r="QP18">
        <v>-2.1902715999999999E-2</v>
      </c>
      <c r="QQ18">
        <v>-1.0303988E-2</v>
      </c>
      <c r="QR18">
        <v>5.6658070000000001E-3</v>
      </c>
      <c r="QS18">
        <v>6.9650870000000004E-2</v>
      </c>
      <c r="QT18">
        <v>5.8412909999999998E-2</v>
      </c>
      <c r="QU18">
        <v>3.7700682999999999E-2</v>
      </c>
      <c r="QV18">
        <v>4.9741470000000003E-2</v>
      </c>
      <c r="QW18">
        <v>-7.3200694999999996E-2</v>
      </c>
      <c r="QX18">
        <v>-2.1304523999999998E-2</v>
      </c>
      <c r="QY18">
        <v>-3.2218549999999999E-2</v>
      </c>
      <c r="QZ18">
        <v>-2.0833241000000001E-3</v>
      </c>
      <c r="RA18">
        <v>1.5732756000000001E-2</v>
      </c>
      <c r="RB18">
        <v>-3.1144695E-2</v>
      </c>
      <c r="RC18">
        <v>5.6398946999999998E-2</v>
      </c>
      <c r="RD18">
        <v>5.4473479999999998E-2</v>
      </c>
      <c r="RE18">
        <v>-1.3473641E-2</v>
      </c>
      <c r="RF18">
        <v>-6.9577682999999999E-4</v>
      </c>
      <c r="RG18">
        <v>6.1505153999999999E-2</v>
      </c>
      <c r="RH18">
        <v>-1.7250575000000001E-2</v>
      </c>
      <c r="RI18">
        <v>1.38185965E-2</v>
      </c>
      <c r="RJ18">
        <v>1.8708280000000001E-2</v>
      </c>
      <c r="RK18">
        <v>-5.5597043000000001E-3</v>
      </c>
      <c r="RL18">
        <v>-7.3699630000000002E-3</v>
      </c>
      <c r="RM18">
        <v>1.3041076E-2</v>
      </c>
      <c r="RN18">
        <v>3.0845790000000001E-2</v>
      </c>
      <c r="RO18">
        <v>-1.1333683000000001E-2</v>
      </c>
      <c r="RP18">
        <v>-1.1205150000000001E-2</v>
      </c>
      <c r="RQ18">
        <v>1.9813383E-2</v>
      </c>
      <c r="RR18">
        <v>-6.2060802999999998E-2</v>
      </c>
      <c r="RS18">
        <v>1.3990356000000001E-2</v>
      </c>
      <c r="RT18">
        <v>6.424328E-2</v>
      </c>
      <c r="RU18">
        <v>2.3544595000000001E-2</v>
      </c>
      <c r="RV18">
        <v>-3.5231426000000003E-2</v>
      </c>
      <c r="RW18">
        <v>-1.0599196999999999E-2</v>
      </c>
      <c r="RX18">
        <v>-2.7888010000000001E-2</v>
      </c>
      <c r="RY18">
        <v>6.1722449999999998E-2</v>
      </c>
      <c r="RZ18">
        <v>3.4974339999999998E-3</v>
      </c>
      <c r="SA18">
        <v>2.7784143000000001E-2</v>
      </c>
      <c r="SB18">
        <v>-1.580148E-2</v>
      </c>
      <c r="SC18">
        <v>-6.8741134999999995E-2</v>
      </c>
      <c r="SD18">
        <v>-5.3728512999999999E-2</v>
      </c>
      <c r="SE18">
        <v>-5.4649903999999999E-2</v>
      </c>
      <c r="SF18">
        <v>-1.1528863E-3</v>
      </c>
      <c r="SG18">
        <v>1.0262744000000001E-2</v>
      </c>
      <c r="SH18">
        <v>-6.3781925000000003E-2</v>
      </c>
      <c r="SI18">
        <v>7.6755240000000004E-3</v>
      </c>
      <c r="SJ18">
        <v>5.5307585999999999E-2</v>
      </c>
      <c r="SK18">
        <v>-1.2760593000000001E-2</v>
      </c>
      <c r="SL18">
        <v>-8.5026579999999997E-3</v>
      </c>
      <c r="SM18">
        <v>2.5067776E-2</v>
      </c>
      <c r="SN18">
        <v>-3.7774204999999998E-2</v>
      </c>
      <c r="SO18">
        <v>3.8542274000000001E-2</v>
      </c>
      <c r="SP18">
        <v>-7.2134119999999996E-2</v>
      </c>
      <c r="SQ18">
        <v>-3.0111175E-2</v>
      </c>
      <c r="SR18">
        <v>4.1965115999999997E-2</v>
      </c>
      <c r="SS18">
        <v>-5.4907583000000003E-2</v>
      </c>
      <c r="ST18">
        <v>2.8797280000000001E-2</v>
      </c>
      <c r="SU18">
        <v>5.3580160000000002E-2</v>
      </c>
      <c r="SV18">
        <v>5.3899559999999999E-2</v>
      </c>
      <c r="SW18">
        <v>1.9359438E-2</v>
      </c>
      <c r="SX18">
        <v>-7.2787790000000005E-2</v>
      </c>
      <c r="SY18">
        <v>3.6130750000000003E-2</v>
      </c>
      <c r="SZ18">
        <v>9.6614699999999998E-2</v>
      </c>
      <c r="TA18">
        <v>-5.6290544999999997E-2</v>
      </c>
      <c r="TB18">
        <v>-2.2765694E-2</v>
      </c>
      <c r="TC18">
        <v>3.2937306999999999E-2</v>
      </c>
      <c r="TD18">
        <v>-3.1585540000000002E-2</v>
      </c>
      <c r="TE18">
        <v>1.9898135000000001E-2</v>
      </c>
      <c r="TF18">
        <v>1.7330963000000001E-2</v>
      </c>
      <c r="TG18">
        <v>-2.1176490999999999E-2</v>
      </c>
      <c r="TH18">
        <v>-2.6834756000000001E-2</v>
      </c>
      <c r="TI18">
        <v>-1.9386496E-2</v>
      </c>
      <c r="TJ18">
        <v>-1.9987026000000001E-2</v>
      </c>
      <c r="TK18">
        <v>4.0041809999999997E-2</v>
      </c>
      <c r="TL18">
        <v>-5.589714E-3</v>
      </c>
      <c r="TM18">
        <v>2.5263408000000001E-2</v>
      </c>
      <c r="TN18">
        <v>-2.2208517000000001E-2</v>
      </c>
      <c r="TO18">
        <v>-2.8955267999999999E-2</v>
      </c>
      <c r="TP18">
        <v>-2.0568507E-2</v>
      </c>
      <c r="TQ18">
        <v>4.2731749999999997E-3</v>
      </c>
      <c r="TR18">
        <v>7.8836206E-4</v>
      </c>
      <c r="TS18">
        <v>3.4810453999999998E-2</v>
      </c>
      <c r="TT18">
        <v>-1.53410705E-2</v>
      </c>
      <c r="TU18">
        <v>2.7795595999999999E-2</v>
      </c>
      <c r="TV18">
        <v>3.6220580000000002E-2</v>
      </c>
      <c r="TW18">
        <v>3.6438020000000002E-2</v>
      </c>
      <c r="TX18">
        <v>-1.3997252E-2</v>
      </c>
      <c r="TY18">
        <v>-3.2196578000000003E-2</v>
      </c>
      <c r="TZ18">
        <v>-6.6783739999999994E-2</v>
      </c>
      <c r="UA18">
        <v>2.1087470000000001E-2</v>
      </c>
      <c r="UB18">
        <v>-3.0725578E-2</v>
      </c>
      <c r="UC18">
        <v>2.9617896000000001E-2</v>
      </c>
      <c r="UD18">
        <v>-8.6272145000000008E-3</v>
      </c>
      <c r="UE18">
        <v>1.9705104000000001E-2</v>
      </c>
      <c r="UF18">
        <v>-6.8869700000000006E-2</v>
      </c>
      <c r="UG18">
        <v>2.2205401E-2</v>
      </c>
      <c r="UH18">
        <v>-1.6499693999999999E-2</v>
      </c>
      <c r="UI18">
        <v>2.7493771E-2</v>
      </c>
      <c r="UJ18">
        <v>-2.2397842000000001E-2</v>
      </c>
      <c r="UK18">
        <v>4.2329660000000003E-3</v>
      </c>
      <c r="UL18">
        <v>-1.7723671999999999E-2</v>
      </c>
      <c r="UM18">
        <v>-1.5753159999999999E-2</v>
      </c>
      <c r="UN18">
        <v>-3.3448443000000001E-2</v>
      </c>
      <c r="UO18">
        <v>6.3241269999999997E-3</v>
      </c>
      <c r="UP18">
        <v>1.6169988E-2</v>
      </c>
      <c r="UQ18">
        <v>-2.9616617000000001E-2</v>
      </c>
      <c r="UR18">
        <v>5.5029014999999999E-3</v>
      </c>
      <c r="US18">
        <v>7.8028663999999998E-2</v>
      </c>
      <c r="UT18">
        <v>1.5807155999999999E-2</v>
      </c>
      <c r="UU18">
        <v>-2.7352087000000001E-3</v>
      </c>
      <c r="UV18">
        <v>2.0240009999999999E-2</v>
      </c>
      <c r="UW18">
        <v>-2.7626119999999998E-3</v>
      </c>
      <c r="UX18">
        <v>-4.8960009999999998E-2</v>
      </c>
      <c r="UY18">
        <v>-5.1360360000000001E-3</v>
      </c>
      <c r="UZ18">
        <v>2.4461080999999999E-2</v>
      </c>
      <c r="VA18">
        <v>4.0722629999999996E-3</v>
      </c>
      <c r="VB18">
        <v>-6.9265779999999999E-2</v>
      </c>
      <c r="VC18">
        <v>6.0818885000000003E-2</v>
      </c>
      <c r="VD18">
        <v>3.1941432999999998E-2</v>
      </c>
      <c r="VE18">
        <v>8.6069969999999999E-3</v>
      </c>
      <c r="VF18">
        <v>-3.6966598E-3</v>
      </c>
      <c r="VG18">
        <v>5.7885859999999997E-2</v>
      </c>
      <c r="VH18">
        <v>-1.2181354E-2</v>
      </c>
      <c r="VI18">
        <v>-3.8136658000000002E-3</v>
      </c>
      <c r="VJ18">
        <v>-5.1324349999999998E-2</v>
      </c>
      <c r="VK18">
        <v>8.4101010000000004E-2</v>
      </c>
      <c r="VL18">
        <v>-2.2954368999999999E-2</v>
      </c>
      <c r="VM18">
        <v>-3.2267110000000002E-2</v>
      </c>
      <c r="VN18">
        <v>3.476916E-3</v>
      </c>
      <c r="VO18">
        <v>5.3650650000000001E-2</v>
      </c>
      <c r="VP18">
        <v>8.9272850000000001E-3</v>
      </c>
      <c r="VQ18">
        <v>-6.2451317999999999E-2</v>
      </c>
      <c r="VR18">
        <v>3.4499116000000003E-2</v>
      </c>
      <c r="VS18">
        <v>2.2586359E-2</v>
      </c>
      <c r="VT18">
        <v>-6.4851370000000005E-2</v>
      </c>
      <c r="VU18">
        <v>-2.5315322000000001E-2</v>
      </c>
      <c r="VV18">
        <v>8.5824600000000001E-3</v>
      </c>
      <c r="VW18">
        <v>8.1752360000000007E-3</v>
      </c>
      <c r="VX18">
        <v>-7.8724599999999995E-3</v>
      </c>
      <c r="VY18">
        <v>-2.3332739000000002E-3</v>
      </c>
      <c r="VZ18">
        <v>3.1898389999999999E-2</v>
      </c>
      <c r="WA18">
        <v>-2.1315157000000001E-2</v>
      </c>
      <c r="WB18">
        <v>1.4297249999999999E-2</v>
      </c>
      <c r="WC18">
        <v>1.4074026E-2</v>
      </c>
      <c r="WD18">
        <v>-6.0058849999999997E-2</v>
      </c>
      <c r="WE18">
        <v>4.2461036000000004E-3</v>
      </c>
      <c r="WF18">
        <v>-1.1679985E-2</v>
      </c>
      <c r="WG18">
        <v>9.8936289999999993E-3</v>
      </c>
      <c r="WH18">
        <v>5.7556259999999998E-3</v>
      </c>
      <c r="WI18">
        <v>-4.4211529999999999E-2</v>
      </c>
      <c r="WJ18">
        <v>1.3597982E-2</v>
      </c>
      <c r="WK18">
        <v>1.748537E-2</v>
      </c>
      <c r="WL18">
        <v>1.4520797E-2</v>
      </c>
      <c r="WM18">
        <v>1.7410579999999998E-2</v>
      </c>
      <c r="WN18">
        <v>1.4897281000000001E-3</v>
      </c>
      <c r="WO18">
        <v>-8.0060189999999996E-3</v>
      </c>
      <c r="WP18">
        <v>-5.6569599999999999E-3</v>
      </c>
      <c r="WQ18">
        <v>-2.1349284999999999E-2</v>
      </c>
      <c r="WR18">
        <v>1.8074396999999999E-2</v>
      </c>
      <c r="WS18">
        <v>7.2135379999999999E-2</v>
      </c>
      <c r="WT18">
        <v>-4.9955449999999998E-2</v>
      </c>
      <c r="WU18">
        <v>4.3948248000000002E-2</v>
      </c>
      <c r="WV18">
        <v>-1.8534873E-2</v>
      </c>
      <c r="WW18">
        <v>-3.8545030000000001E-2</v>
      </c>
      <c r="WX18">
        <v>-6.2757276000000001E-2</v>
      </c>
      <c r="WY18">
        <v>-6.9935010000000006E-2</v>
      </c>
      <c r="WZ18">
        <v>-4.7533073000000002E-2</v>
      </c>
      <c r="XA18">
        <v>5.2585269999999998E-3</v>
      </c>
      <c r="XB18">
        <v>-4.9034139999999997E-2</v>
      </c>
      <c r="XC18">
        <v>4.0852754999999998E-2</v>
      </c>
      <c r="XD18">
        <v>-1.0534052E-2</v>
      </c>
      <c r="XE18">
        <v>-2.5305477999999999E-2</v>
      </c>
      <c r="XF18">
        <v>-8.5887415000000002E-3</v>
      </c>
      <c r="XG18">
        <v>3.3518482000000002E-2</v>
      </c>
      <c r="XH18">
        <v>5.1746838000000003E-2</v>
      </c>
      <c r="XI18">
        <v>-4.9770355000000002E-2</v>
      </c>
      <c r="XJ18">
        <v>6.7899780000000007E-2</v>
      </c>
      <c r="XK18">
        <v>-1.8096478999999999E-2</v>
      </c>
      <c r="XL18">
        <v>-2.2850700000000002E-2</v>
      </c>
      <c r="XM18">
        <v>-6.2894619999999998E-2</v>
      </c>
      <c r="XN18">
        <v>5.5169779999999996E-3</v>
      </c>
      <c r="XO18">
        <v>-2.6214656999999999E-2</v>
      </c>
      <c r="XP18">
        <v>1.4707682999999999E-2</v>
      </c>
      <c r="XQ18">
        <v>1.0010175E-2</v>
      </c>
      <c r="XR18">
        <v>7.2683774000000007E-2</v>
      </c>
      <c r="XS18">
        <v>9.689118E-3</v>
      </c>
      <c r="XT18">
        <v>-2.5129663E-2</v>
      </c>
      <c r="XU18">
        <v>-2.8142062999999998E-2</v>
      </c>
      <c r="XV18">
        <v>-2.0260597000000002E-2</v>
      </c>
      <c r="XW18">
        <v>3.6500501999999998E-4</v>
      </c>
      <c r="XX18">
        <v>1.4495411E-2</v>
      </c>
      <c r="XY18">
        <v>2.3854362E-2</v>
      </c>
      <c r="XZ18">
        <v>5.0311830000000002E-2</v>
      </c>
      <c r="YA18">
        <v>1.0189007999999999E-2</v>
      </c>
      <c r="YB18">
        <v>-2.7473453000000001E-3</v>
      </c>
      <c r="YC18">
        <v>6.0747948000000003E-2</v>
      </c>
      <c r="YD18">
        <v>4.5145717000000002E-2</v>
      </c>
      <c r="YE18">
        <v>1.0301090000000001E-2</v>
      </c>
      <c r="YF18">
        <v>-1.3123798000000001E-2</v>
      </c>
      <c r="YG18">
        <v>-2.5939726999999999E-2</v>
      </c>
      <c r="YH18">
        <v>2.0281935000000001E-2</v>
      </c>
      <c r="YI18">
        <v>-2.0872762E-3</v>
      </c>
      <c r="YJ18">
        <v>-2.5485786E-2</v>
      </c>
      <c r="YK18">
        <v>-1.0380822E-2</v>
      </c>
      <c r="YL18">
        <v>-3.1466924E-2</v>
      </c>
      <c r="YM18">
        <v>-5.3763437999999997E-2</v>
      </c>
      <c r="YN18">
        <v>-4.0376857000000002E-2</v>
      </c>
      <c r="YO18">
        <v>2.3559064000000001E-2</v>
      </c>
      <c r="YP18">
        <v>-2.8629903000000002E-2</v>
      </c>
      <c r="YQ18">
        <v>5.04427E-2</v>
      </c>
      <c r="YR18">
        <v>2.7056690000000001E-2</v>
      </c>
      <c r="YS18">
        <v>-1.1333678E-3</v>
      </c>
      <c r="YT18">
        <v>1.1099833999999999E-2</v>
      </c>
      <c r="YU18">
        <v>-6.0698926E-2</v>
      </c>
      <c r="YV18">
        <v>-9.1135450000000007E-2</v>
      </c>
      <c r="YW18">
        <v>2.6675240000000001E-3</v>
      </c>
      <c r="YX18">
        <v>1.7642002999999999E-3</v>
      </c>
      <c r="YY18">
        <v>4.2365673999999999E-2</v>
      </c>
      <c r="YZ18">
        <v>1.5543283999999999E-2</v>
      </c>
      <c r="ZA18">
        <v>6.1715952999999999E-3</v>
      </c>
      <c r="ZB18">
        <v>1.0681612E-2</v>
      </c>
      <c r="ZC18">
        <v>2.5085323E-2</v>
      </c>
      <c r="ZD18">
        <v>-2.5941914E-2</v>
      </c>
      <c r="ZE18">
        <v>-3.1495391999999997E-2</v>
      </c>
      <c r="ZF18">
        <v>-1.7073385E-2</v>
      </c>
      <c r="ZG18">
        <v>-3.9069455000000003E-2</v>
      </c>
      <c r="ZH18">
        <v>2.1957449999999998E-3</v>
      </c>
      <c r="ZI18">
        <v>3.9590247000000002E-2</v>
      </c>
      <c r="ZJ18">
        <v>1.8465138E-3</v>
      </c>
      <c r="ZK18">
        <v>1.00895275E-4</v>
      </c>
      <c r="ZL18">
        <v>-3.6769059999999999E-2</v>
      </c>
      <c r="ZM18">
        <v>5.4380310000000001E-2</v>
      </c>
      <c r="ZN18">
        <v>6.3798020000000004E-3</v>
      </c>
      <c r="ZO18">
        <v>2.0859268E-2</v>
      </c>
      <c r="ZP18">
        <v>-5.1538176999999998E-2</v>
      </c>
      <c r="ZQ18">
        <v>-1.3921081E-2</v>
      </c>
      <c r="ZR18">
        <v>-6.4235083999999998E-2</v>
      </c>
      <c r="ZS18">
        <v>1.19958585E-2</v>
      </c>
      <c r="ZT18">
        <v>-3.4072448000000001E-3</v>
      </c>
      <c r="ZU18">
        <v>4.1933730000000002E-2</v>
      </c>
      <c r="ZV18">
        <v>1.2952225E-2</v>
      </c>
      <c r="ZW18">
        <v>-1.2725862000000001E-3</v>
      </c>
      <c r="ZX18">
        <v>1.3606616E-2</v>
      </c>
      <c r="ZY18">
        <v>4.0424719999999997E-2</v>
      </c>
      <c r="ZZ18">
        <v>3.6686940000000001E-2</v>
      </c>
      <c r="AAA18">
        <v>6.6729739999999999E-4</v>
      </c>
      <c r="AAB18">
        <v>3.4096550000000003E-2</v>
      </c>
      <c r="AAC18">
        <v>7.172075E-3</v>
      </c>
      <c r="AAD18">
        <v>5.9213410000000001E-2</v>
      </c>
      <c r="AAE18">
        <v>-3.6225975000000001E-2</v>
      </c>
      <c r="AAF18">
        <v>-1.8533793999999999E-2</v>
      </c>
      <c r="AAG18">
        <v>-1.5136185999999999E-2</v>
      </c>
      <c r="AAH18">
        <v>-7.2875516E-3</v>
      </c>
      <c r="AAI18">
        <v>-2.2489721000000001E-2</v>
      </c>
      <c r="AAJ18">
        <v>-6.613405E-2</v>
      </c>
      <c r="AAK18">
        <v>-3.1431537000000002E-2</v>
      </c>
      <c r="AAL18">
        <v>1.3262417E-2</v>
      </c>
      <c r="AAM18">
        <v>-1.4252706E-2</v>
      </c>
      <c r="AAN18">
        <v>2.9999794E-2</v>
      </c>
      <c r="AAO18">
        <v>4.5558274000000003E-2</v>
      </c>
      <c r="AAP18">
        <v>3.0610943000000002E-2</v>
      </c>
      <c r="AAQ18">
        <v>-4.4471860000000002E-2</v>
      </c>
      <c r="AAR18">
        <v>-5.3982559999999999E-2</v>
      </c>
      <c r="AAS18">
        <v>-3.8575052999999998E-2</v>
      </c>
      <c r="AAT18">
        <v>2.5770222999999998E-2</v>
      </c>
      <c r="AAU18">
        <v>1.8668808000000001E-3</v>
      </c>
      <c r="AAV18">
        <v>2.8250627E-2</v>
      </c>
      <c r="AAW18">
        <v>-6.7863359999999998E-2</v>
      </c>
      <c r="AAX18">
        <v>-3.9251080000000001E-2</v>
      </c>
      <c r="AAY18">
        <v>-9.7264970000000006E-3</v>
      </c>
      <c r="AAZ18">
        <v>-5.1656823999999997E-2</v>
      </c>
      <c r="ABA18">
        <v>8.6477740000000004E-3</v>
      </c>
      <c r="ABB18">
        <v>-1.6891239999999998E-2</v>
      </c>
      <c r="ABC18">
        <v>-7.3633965999999999E-4</v>
      </c>
      <c r="ABD18">
        <v>4.7482043000000003E-3</v>
      </c>
      <c r="ABE18">
        <v>6.3410913999999998E-4</v>
      </c>
      <c r="ABF18">
        <v>4.6574988000000001E-4</v>
      </c>
      <c r="ABG18">
        <v>-1.2905616999999999E-2</v>
      </c>
      <c r="ABH18">
        <v>3.7265832999999998E-2</v>
      </c>
      <c r="ABI18">
        <v>-1.0710330000000001E-2</v>
      </c>
      <c r="ABJ18">
        <v>-2.5638024999999998E-2</v>
      </c>
      <c r="ABK18">
        <v>-5.4170083000000001E-2</v>
      </c>
      <c r="ABL18">
        <v>-3.8385782E-2</v>
      </c>
      <c r="ABM18">
        <v>-5.4032261999999998E-2</v>
      </c>
      <c r="ABN18">
        <v>-1.9548260000000001E-2</v>
      </c>
      <c r="ABO18">
        <v>-4.2727759999999997E-2</v>
      </c>
      <c r="ABP18">
        <v>-7.9783425000000009E-3</v>
      </c>
      <c r="ABQ18">
        <v>1.0146731500000001E-2</v>
      </c>
      <c r="ABR18">
        <v>-3.3478609999999999E-2</v>
      </c>
      <c r="ABS18">
        <v>-8.2227840000000003E-3</v>
      </c>
      <c r="ABT18">
        <v>7.8791490000000002E-3</v>
      </c>
      <c r="ABU18">
        <v>-6.4298209999999995E-2</v>
      </c>
      <c r="ABV18">
        <v>1.8307349000000001E-2</v>
      </c>
      <c r="ABW18">
        <v>-2.0148917999999998E-2</v>
      </c>
      <c r="ABX18">
        <v>-6.420874E-3</v>
      </c>
      <c r="ABY18">
        <v>-2.0806853E-2</v>
      </c>
      <c r="ABZ18">
        <v>-6.5854789999999996E-2</v>
      </c>
      <c r="ACA18">
        <v>-3.0888573999999999E-2</v>
      </c>
      <c r="ACB18">
        <v>2.4136241999999999E-2</v>
      </c>
      <c r="ACC18">
        <v>-9.4964623000000001E-4</v>
      </c>
      <c r="ACD18">
        <v>3.6144849999999999E-2</v>
      </c>
      <c r="ACE18">
        <v>-3.2249159999999999E-2</v>
      </c>
      <c r="ACF18">
        <v>7.0481619999999995E-2</v>
      </c>
      <c r="ACG18">
        <v>9.5926575E-2</v>
      </c>
      <c r="ACH18">
        <v>7.2072296999999997E-3</v>
      </c>
      <c r="ACI18">
        <v>4.0588826000000001E-2</v>
      </c>
      <c r="ACJ18">
        <v>-5.8248333999999999E-2</v>
      </c>
      <c r="ACK18">
        <v>-4.3580435000000001E-2</v>
      </c>
      <c r="ACL18">
        <v>3.784121E-2</v>
      </c>
      <c r="ACM18">
        <v>-6.6254534999999996E-3</v>
      </c>
      <c r="ACN18">
        <v>-2.0221687999999998E-3</v>
      </c>
      <c r="ACO18">
        <v>-5.5465347999999998E-2</v>
      </c>
      <c r="ACP18">
        <v>1.1212827E-2</v>
      </c>
    </row>
    <row r="19" spans="1:770" x14ac:dyDescent="0.5">
      <c r="B19">
        <v>-2.1668171999999999E-2</v>
      </c>
      <c r="C19" s="27">
        <v>-4.9053192999999997E-3</v>
      </c>
      <c r="D19">
        <v>4.7455230000000001E-2</v>
      </c>
      <c r="E19">
        <v>-0.11703898</v>
      </c>
      <c r="F19">
        <v>-4.5176253E-2</v>
      </c>
      <c r="G19" s="27">
        <v>1.6752526E-2</v>
      </c>
      <c r="H19">
        <v>-9.8745059999999996E-2</v>
      </c>
      <c r="I19">
        <v>1.2356334E-2</v>
      </c>
      <c r="J19">
        <v>-5.6694242999999998E-3</v>
      </c>
      <c r="K19">
        <v>-6.6014760000000006E-2</v>
      </c>
      <c r="L19">
        <v>2.1387056000000002E-2</v>
      </c>
      <c r="M19">
        <v>2.5220317999999999E-2</v>
      </c>
      <c r="N19">
        <v>-1.8184203999999999E-2</v>
      </c>
      <c r="O19">
        <v>0.10168617000000001</v>
      </c>
      <c r="P19">
        <v>3.6834713999999999E-3</v>
      </c>
      <c r="Q19">
        <v>-4.3909095000000002E-2</v>
      </c>
      <c r="R19">
        <v>-1.4836647E-2</v>
      </c>
      <c r="S19">
        <v>-1.9938942000000001E-2</v>
      </c>
      <c r="T19">
        <v>-1.1609182E-3</v>
      </c>
      <c r="U19">
        <v>-3.0932972E-2</v>
      </c>
      <c r="V19">
        <v>-4.6760138E-2</v>
      </c>
      <c r="W19">
        <v>5.0012781999999999E-2</v>
      </c>
      <c r="X19">
        <v>2.2074710000000001E-2</v>
      </c>
      <c r="Y19">
        <v>-1.5229100000000001E-2</v>
      </c>
      <c r="Z19">
        <v>3.4499817000000002E-2</v>
      </c>
      <c r="AA19">
        <v>5.3684395000000003E-2</v>
      </c>
      <c r="AB19">
        <v>9.9197460000000001E-3</v>
      </c>
      <c r="AC19">
        <v>-5.1883249999999999E-2</v>
      </c>
      <c r="AD19">
        <v>-3.0440819E-3</v>
      </c>
      <c r="AE19">
        <v>3.0535512000000001E-2</v>
      </c>
      <c r="AF19">
        <v>2.8799964000000001E-2</v>
      </c>
      <c r="AG19">
        <v>-1.6023510000000001E-2</v>
      </c>
      <c r="AH19">
        <v>-2.5550344999999999E-2</v>
      </c>
      <c r="AI19">
        <v>1.2107412999999999E-2</v>
      </c>
      <c r="AJ19">
        <v>-9.9095840000000008E-3</v>
      </c>
      <c r="AK19">
        <v>-6.2407847000000002E-2</v>
      </c>
      <c r="AL19">
        <v>-5.8667329999999997E-2</v>
      </c>
      <c r="AM19">
        <v>1.8790174E-2</v>
      </c>
      <c r="AN19">
        <v>3.3771744999999999E-3</v>
      </c>
      <c r="AO19">
        <v>-7.726653E-2</v>
      </c>
      <c r="AP19">
        <v>8.0506999999999995E-2</v>
      </c>
      <c r="AQ19">
        <v>1.9518506000000001E-2</v>
      </c>
      <c r="AR19">
        <v>1.7080596E-2</v>
      </c>
      <c r="AS19">
        <v>1.5479194999999999E-2</v>
      </c>
      <c r="AT19">
        <v>-8.8920810000000003E-2</v>
      </c>
      <c r="AU19">
        <v>4.2966089999999998E-2</v>
      </c>
      <c r="AV19">
        <v>-4.317037E-2</v>
      </c>
      <c r="AW19">
        <v>6.8789682999999997E-3</v>
      </c>
      <c r="AX19">
        <v>-6.1863036999999996E-3</v>
      </c>
      <c r="AY19">
        <v>1.8465658999999999E-2</v>
      </c>
      <c r="AZ19">
        <v>-4.5728162000000003E-2</v>
      </c>
      <c r="BA19">
        <v>-2.178598E-2</v>
      </c>
      <c r="BB19">
        <v>4.3916836000000001E-4</v>
      </c>
      <c r="BC19">
        <v>3.9080437000000003E-2</v>
      </c>
      <c r="BD19">
        <v>4.2098313999999998E-2</v>
      </c>
      <c r="BE19">
        <v>5.5474598E-2</v>
      </c>
      <c r="BF19">
        <v>2.7627327999999998E-3</v>
      </c>
      <c r="BG19">
        <v>-3.6239865999999998E-3</v>
      </c>
      <c r="BH19">
        <v>-2.9907657000000001E-2</v>
      </c>
      <c r="BI19">
        <v>-5.4472655000000002E-2</v>
      </c>
      <c r="BJ19">
        <v>-2.5938971000000002E-2</v>
      </c>
      <c r="BK19">
        <v>5.7195614999999998E-2</v>
      </c>
      <c r="BL19">
        <v>9.6697290000000005E-2</v>
      </c>
      <c r="BM19">
        <v>-4.1148480000000001E-2</v>
      </c>
      <c r="BN19">
        <v>8.0678219999999995E-2</v>
      </c>
      <c r="BO19">
        <v>4.8541336999999997E-2</v>
      </c>
      <c r="BP19">
        <v>-3.0425679999999998E-3</v>
      </c>
      <c r="BQ19">
        <v>-6.2776189999999996E-2</v>
      </c>
      <c r="BR19">
        <v>-6.3766040000000001E-3</v>
      </c>
      <c r="BS19">
        <v>-3.2879869999999999E-2</v>
      </c>
      <c r="BT19">
        <v>-5.1708194999999998E-2</v>
      </c>
      <c r="BU19">
        <v>7.1021624000000005E-2</v>
      </c>
      <c r="BV19">
        <v>8.2941649999999992E-3</v>
      </c>
      <c r="BW19">
        <v>1.8485251E-3</v>
      </c>
      <c r="BX19">
        <v>3.3713559999999997E-2</v>
      </c>
      <c r="BY19">
        <v>-5.4167050000000001E-2</v>
      </c>
      <c r="BZ19">
        <v>-4.2687345000000002E-2</v>
      </c>
      <c r="CA19">
        <v>-8.7989109999999995E-3</v>
      </c>
      <c r="CB19">
        <v>7.6755275999999999E-3</v>
      </c>
      <c r="CC19">
        <v>-1.0055967000000001E-2</v>
      </c>
      <c r="CD19">
        <v>4.4879085999999999E-2</v>
      </c>
      <c r="CE19">
        <v>-1.9987244000000001E-2</v>
      </c>
      <c r="CF19">
        <v>6.3364950000000001E-3</v>
      </c>
      <c r="CG19">
        <v>5.7468449999999997E-2</v>
      </c>
      <c r="CH19">
        <v>-4.1021406999999996E-3</v>
      </c>
      <c r="CI19">
        <v>5.1886342000000002E-2</v>
      </c>
      <c r="CJ19">
        <v>1.1753193E-2</v>
      </c>
      <c r="CK19">
        <v>-3.993735E-3</v>
      </c>
      <c r="CL19">
        <v>8.3595460000000007E-3</v>
      </c>
      <c r="CM19">
        <v>-1.5068219000000001E-2</v>
      </c>
      <c r="CN19">
        <v>4.8830687999999997E-2</v>
      </c>
      <c r="CO19">
        <v>-2.9745062999999999E-2</v>
      </c>
      <c r="CP19">
        <v>1.3829118E-2</v>
      </c>
      <c r="CQ19">
        <v>7.0478970000000002E-2</v>
      </c>
      <c r="CR19">
        <v>3.0404178E-2</v>
      </c>
      <c r="CS19">
        <v>-7.5430730000000001E-2</v>
      </c>
      <c r="CT19">
        <v>9.1666629999999999E-2</v>
      </c>
      <c r="CU19">
        <v>2.7301114000000001E-2</v>
      </c>
      <c r="CV19">
        <v>-1.5539729E-2</v>
      </c>
      <c r="CW19">
        <v>-1.6148213000000002E-2</v>
      </c>
      <c r="CX19">
        <v>-9.777044E-2</v>
      </c>
      <c r="CY19">
        <v>-4.5589304999999997E-2</v>
      </c>
      <c r="CZ19">
        <v>-8.4834860000000002E-3</v>
      </c>
      <c r="DA19">
        <v>3.9448835000000002E-2</v>
      </c>
      <c r="DB19">
        <v>-3.7372135000000001E-2</v>
      </c>
      <c r="DC19">
        <v>8.1474505000000003E-2</v>
      </c>
      <c r="DD19">
        <v>2.1212268999999999E-2</v>
      </c>
      <c r="DE19">
        <v>7.980918E-3</v>
      </c>
      <c r="DF19">
        <v>1.669774E-3</v>
      </c>
      <c r="DG19">
        <v>-4.0649159999999997E-2</v>
      </c>
      <c r="DH19">
        <v>2.8971399999999999E-3</v>
      </c>
      <c r="DI19">
        <v>-1.4467939000000001E-2</v>
      </c>
      <c r="DJ19">
        <v>4.3253936E-2</v>
      </c>
      <c r="DK19">
        <v>-1.1318428E-2</v>
      </c>
      <c r="DL19">
        <v>-1.3700265999999999E-2</v>
      </c>
      <c r="DM19">
        <v>1.3709466E-2</v>
      </c>
      <c r="DN19">
        <v>2.7034389999999998E-2</v>
      </c>
      <c r="DO19">
        <v>2.6879324E-2</v>
      </c>
      <c r="DP19">
        <v>4.4384124000000002E-3</v>
      </c>
      <c r="DQ19">
        <v>4.6601759999999999E-2</v>
      </c>
      <c r="DR19">
        <v>7.6484099999999999E-2</v>
      </c>
      <c r="DS19">
        <v>2.4041673E-2</v>
      </c>
      <c r="DT19">
        <v>-2.6754772E-3</v>
      </c>
      <c r="DU19">
        <v>1.5243936E-2</v>
      </c>
      <c r="DV19">
        <v>9.8509700000000006E-2</v>
      </c>
      <c r="DW19">
        <v>-3.2336070000000001E-2</v>
      </c>
      <c r="DX19">
        <v>2.1388713E-2</v>
      </c>
      <c r="DY19">
        <v>-2.0767170000000001E-2</v>
      </c>
      <c r="DZ19">
        <v>-5.5556395E-3</v>
      </c>
      <c r="EA19">
        <v>2.2444506999999999E-2</v>
      </c>
      <c r="EB19">
        <v>-1.614875E-2</v>
      </c>
      <c r="EC19">
        <v>-2.9913262999999999E-2</v>
      </c>
      <c r="ED19">
        <v>-1.6883743999999999E-2</v>
      </c>
      <c r="EE19">
        <v>-5.2935082000000001E-2</v>
      </c>
      <c r="EF19">
        <v>6.1843167999999997E-2</v>
      </c>
      <c r="EG19">
        <v>-9.3707860000000007E-3</v>
      </c>
      <c r="EH19">
        <v>3.5316739999999999E-2</v>
      </c>
      <c r="EI19">
        <v>-6.2358793000000003E-2</v>
      </c>
      <c r="EJ19">
        <v>-3.2255970000000002E-2</v>
      </c>
      <c r="EK19">
        <v>3.6918593000000001E-3</v>
      </c>
      <c r="EL19">
        <v>-3.5552437999999999E-3</v>
      </c>
      <c r="EM19">
        <v>1.2379849E-2</v>
      </c>
      <c r="EN19">
        <v>-1.4306302999999999E-2</v>
      </c>
      <c r="EO19">
        <v>9.9088379999999997E-3</v>
      </c>
      <c r="EP19">
        <v>-2.8682818999999998E-2</v>
      </c>
      <c r="EQ19">
        <v>2.4287969E-2</v>
      </c>
      <c r="ER19">
        <v>-3.7640117000000001E-2</v>
      </c>
      <c r="ES19">
        <v>-3.8612720000000003E-2</v>
      </c>
      <c r="ET19">
        <v>-3.3947039999999998E-2</v>
      </c>
      <c r="EU19">
        <v>-3.3256201999999998E-4</v>
      </c>
      <c r="EV19">
        <v>-9.9257689999999992E-3</v>
      </c>
      <c r="EW19">
        <v>-3.1431682000000002E-2</v>
      </c>
      <c r="EX19">
        <v>2.8359217999999999E-2</v>
      </c>
      <c r="EY19">
        <v>-2.8028328000000002E-2</v>
      </c>
      <c r="EZ19">
        <v>-7.3532500000000004E-3</v>
      </c>
      <c r="FA19">
        <v>1.4966520000000001E-2</v>
      </c>
      <c r="FB19">
        <v>-2.1492596999999999E-2</v>
      </c>
      <c r="FC19">
        <v>1.8024762E-3</v>
      </c>
      <c r="FD19">
        <v>5.0029484999999999E-3</v>
      </c>
      <c r="FE19">
        <v>2.0297285000000002E-2</v>
      </c>
      <c r="FF19">
        <v>2.6565175999999999E-2</v>
      </c>
      <c r="FG19">
        <v>5.1747236000000002E-2</v>
      </c>
      <c r="FH19">
        <v>-1.6024465000000002E-2</v>
      </c>
      <c r="FI19">
        <v>-5.6112654999999997E-2</v>
      </c>
      <c r="FJ19">
        <v>1.6107449999999999E-2</v>
      </c>
      <c r="FK19">
        <v>1.6771609E-2</v>
      </c>
      <c r="FL19">
        <v>-3.5448630000000002E-2</v>
      </c>
      <c r="FM19">
        <v>4.3645351999999998E-2</v>
      </c>
      <c r="FN19">
        <v>2.0187486000000001E-2</v>
      </c>
      <c r="FO19">
        <v>-3.4230409999999999E-3</v>
      </c>
      <c r="FP19">
        <v>8.0563714999999994E-3</v>
      </c>
      <c r="FQ19">
        <v>-3.2530933999999997E-2</v>
      </c>
      <c r="FR19">
        <v>-8.8414019999999996E-2</v>
      </c>
      <c r="FS19">
        <v>3.6712386E-2</v>
      </c>
      <c r="FT19">
        <v>-3.3496443000000001E-2</v>
      </c>
      <c r="FU19">
        <v>1.2848039E-2</v>
      </c>
      <c r="FV19">
        <v>8.1361409999999995E-3</v>
      </c>
      <c r="FW19">
        <v>1.5679222E-2</v>
      </c>
      <c r="FX19">
        <v>-5.3808553999999996E-3</v>
      </c>
      <c r="FY19">
        <v>1.7933521000000001E-2</v>
      </c>
      <c r="FZ19">
        <v>2.6457537E-2</v>
      </c>
      <c r="GA19">
        <v>5.5146133999999999E-3</v>
      </c>
      <c r="GB19">
        <v>-6.6143140000000003E-2</v>
      </c>
      <c r="GC19">
        <v>6.2918014999999994E-2</v>
      </c>
      <c r="GD19">
        <v>2.3314240999999999E-2</v>
      </c>
      <c r="GE19">
        <v>-2.1516754999999999E-2</v>
      </c>
      <c r="GF19">
        <v>-6.8680364999999998E-3</v>
      </c>
      <c r="GG19">
        <v>-1.9716616000000002E-3</v>
      </c>
      <c r="GH19">
        <v>6.9605539999999999E-3</v>
      </c>
      <c r="GI19">
        <v>8.695131E-3</v>
      </c>
      <c r="GJ19">
        <v>1.9907701999999999E-2</v>
      </c>
      <c r="GK19">
        <v>-1.685789E-3</v>
      </c>
      <c r="GL19">
        <v>9.1279345E-4</v>
      </c>
      <c r="GM19">
        <v>-8.7236599999999994E-3</v>
      </c>
      <c r="GN19">
        <v>4.8069115999999999E-3</v>
      </c>
      <c r="GO19">
        <v>-3.6267262000000001E-2</v>
      </c>
      <c r="GP19">
        <v>-1.5064253999999999E-2</v>
      </c>
      <c r="GQ19">
        <v>-1.6836653E-2</v>
      </c>
      <c r="GR19">
        <v>1.3526421E-2</v>
      </c>
      <c r="GS19">
        <v>-2.1916477E-2</v>
      </c>
      <c r="GT19">
        <v>1.3476294E-2</v>
      </c>
      <c r="GU19">
        <v>4.0920725999999998E-3</v>
      </c>
      <c r="GV19">
        <v>2.2043683000000001E-2</v>
      </c>
      <c r="GW19">
        <v>-8.2222660000000003E-2</v>
      </c>
      <c r="GX19">
        <v>-9.3491069999999997E-4</v>
      </c>
      <c r="GY19">
        <v>-8.7648115999999998E-2</v>
      </c>
      <c r="GZ19">
        <v>2.4839204E-2</v>
      </c>
      <c r="HA19">
        <v>7.09978E-2</v>
      </c>
      <c r="HB19">
        <v>3.5531170000000001E-2</v>
      </c>
      <c r="HC19">
        <v>-2.7040496000000001E-2</v>
      </c>
      <c r="HD19">
        <v>2.7480437999999999E-2</v>
      </c>
      <c r="HE19">
        <v>1.9159267000000001E-2</v>
      </c>
      <c r="HF19">
        <v>2.1660800000000001E-2</v>
      </c>
      <c r="HG19">
        <v>1.3952450999999999E-2</v>
      </c>
      <c r="HH19">
        <v>6.3274237000000002E-3</v>
      </c>
      <c r="HI19">
        <v>-5.5233883000000003E-3</v>
      </c>
      <c r="HJ19">
        <v>-9.2518219999999998E-3</v>
      </c>
      <c r="HK19">
        <v>-2.4196742E-2</v>
      </c>
      <c r="HL19">
        <v>4.6188180000000002E-3</v>
      </c>
      <c r="HM19">
        <v>-3.0128889999999998E-2</v>
      </c>
      <c r="HN19">
        <v>2.7085844000000001E-2</v>
      </c>
      <c r="HO19">
        <v>3.0587941E-2</v>
      </c>
      <c r="HP19">
        <v>3.1775545000000002E-2</v>
      </c>
      <c r="HQ19">
        <v>-3.0396303E-2</v>
      </c>
      <c r="HR19">
        <v>4.5069788E-2</v>
      </c>
      <c r="HS19">
        <v>7.9601510000000004E-3</v>
      </c>
      <c r="HT19">
        <v>-1.8579370000000001E-2</v>
      </c>
      <c r="HU19">
        <v>-3.5641263E-3</v>
      </c>
      <c r="HV19">
        <v>-3.6711476999999999E-2</v>
      </c>
      <c r="HW19">
        <v>-1.0824165E-2</v>
      </c>
      <c r="HX19">
        <v>-1.4623239999999999E-2</v>
      </c>
      <c r="HY19">
        <v>-2.435228E-2</v>
      </c>
      <c r="HZ19">
        <v>-4.6249117999999999E-2</v>
      </c>
      <c r="IA19">
        <v>4.9421439999999997E-2</v>
      </c>
      <c r="IB19">
        <v>-3.8614467E-2</v>
      </c>
      <c r="IC19">
        <v>-2.117082E-2</v>
      </c>
      <c r="ID19">
        <v>-2.5617976000000001E-2</v>
      </c>
      <c r="IE19">
        <v>5.243192E-2</v>
      </c>
      <c r="IF19">
        <v>3.195887E-2</v>
      </c>
      <c r="IG19">
        <v>2.1870712E-2</v>
      </c>
      <c r="IH19">
        <v>4.9028481999999998E-2</v>
      </c>
      <c r="II19">
        <v>-7.4133043999999998E-4</v>
      </c>
      <c r="IJ19">
        <v>2.7418332E-3</v>
      </c>
      <c r="IK19">
        <v>-2.9417725999999998E-3</v>
      </c>
      <c r="IL19">
        <v>-1.5245642E-2</v>
      </c>
      <c r="IM19">
        <v>-1.1573679E-2</v>
      </c>
      <c r="IN19">
        <v>1.0104797E-2</v>
      </c>
      <c r="IO19">
        <v>-8.3009000000000004E-5</v>
      </c>
      <c r="IP19">
        <v>-2.7812475E-2</v>
      </c>
      <c r="IQ19">
        <v>1.4759069999999999E-2</v>
      </c>
      <c r="IR19">
        <v>9.1008455000000002E-2</v>
      </c>
      <c r="IS19">
        <v>-1.0714006999999999E-2</v>
      </c>
      <c r="IT19">
        <v>7.3545210000000001E-3</v>
      </c>
      <c r="IU19">
        <v>-3.4060314000000001E-2</v>
      </c>
      <c r="IV19">
        <v>-4.1239684E-5</v>
      </c>
      <c r="IW19">
        <v>2.2530416000000001E-2</v>
      </c>
      <c r="IX19">
        <v>2.0398531000000001E-2</v>
      </c>
      <c r="IY19">
        <v>-8.8873660000000007E-3</v>
      </c>
      <c r="IZ19">
        <v>-1.4312237E-2</v>
      </c>
      <c r="JA19">
        <v>5.8277599999999999E-2</v>
      </c>
      <c r="JB19">
        <v>-3.2553967000000003E-2</v>
      </c>
      <c r="JC19">
        <v>7.0949489999999995E-4</v>
      </c>
      <c r="JD19">
        <v>-2.2143296999999999E-2</v>
      </c>
      <c r="JE19">
        <v>4.5210822999999997E-2</v>
      </c>
      <c r="JF19">
        <v>-1.4068595E-2</v>
      </c>
      <c r="JG19">
        <v>2.9113894000000001E-2</v>
      </c>
      <c r="JH19">
        <v>-1.5509789E-2</v>
      </c>
      <c r="JI19">
        <v>-4.6458699999999999E-2</v>
      </c>
      <c r="JJ19">
        <v>-5.4201619999999999E-2</v>
      </c>
      <c r="JK19">
        <v>-1.8604519999999999E-2</v>
      </c>
      <c r="JL19">
        <v>-3.0299487999999999E-2</v>
      </c>
      <c r="JM19">
        <v>1.9498277000000001E-2</v>
      </c>
      <c r="JN19">
        <v>-4.6583514999999999E-2</v>
      </c>
      <c r="JO19">
        <v>3.8177684000000003E-2</v>
      </c>
      <c r="JP19">
        <v>-3.9309686999999998E-3</v>
      </c>
      <c r="JQ19">
        <v>1.7044042999999998E-2</v>
      </c>
      <c r="JR19">
        <v>4.5317580000000003E-3</v>
      </c>
      <c r="JS19">
        <v>-3.6114026E-2</v>
      </c>
      <c r="JT19">
        <v>-1.7663905000000001E-2</v>
      </c>
      <c r="JU19">
        <v>-7.4928896999999998E-3</v>
      </c>
      <c r="JV19">
        <v>1.6638284999999999E-2</v>
      </c>
      <c r="JW19">
        <v>-5.3426314000000003E-2</v>
      </c>
      <c r="JX19">
        <v>-5.1886599999999998E-2</v>
      </c>
      <c r="JY19">
        <v>-9.9881280000000006E-3</v>
      </c>
      <c r="JZ19">
        <v>9.1847700000000001E-3</v>
      </c>
      <c r="KA19">
        <v>-7.5774620000000001E-2</v>
      </c>
      <c r="KB19">
        <v>3.4824397E-2</v>
      </c>
      <c r="KC19">
        <v>-2.4495070000000001E-2</v>
      </c>
      <c r="KD19">
        <v>2.2725668000000001E-2</v>
      </c>
      <c r="KE19">
        <v>4.1827507E-2</v>
      </c>
      <c r="KF19">
        <v>-4.0360726E-2</v>
      </c>
      <c r="KG19">
        <v>2.7085952E-2</v>
      </c>
      <c r="KH19">
        <v>2.5273671000000001E-2</v>
      </c>
      <c r="KI19">
        <v>1.1937616E-4</v>
      </c>
      <c r="KJ19">
        <v>3.3293452000000001E-2</v>
      </c>
      <c r="KK19">
        <v>2.750348E-2</v>
      </c>
      <c r="KL19">
        <v>3.1888199999999998E-2</v>
      </c>
      <c r="KM19">
        <v>4.3109179999999997E-2</v>
      </c>
      <c r="KN19">
        <v>-1.7555290000000001E-2</v>
      </c>
      <c r="KO19">
        <v>-1.2350465999999999E-2</v>
      </c>
      <c r="KP19">
        <v>2.7462120999999999E-2</v>
      </c>
      <c r="KQ19">
        <v>3.8605746000000003E-2</v>
      </c>
      <c r="KR19">
        <v>6.5236920000000004E-2</v>
      </c>
      <c r="KS19">
        <v>7.6181265E-3</v>
      </c>
      <c r="KT19">
        <v>2.6923051E-2</v>
      </c>
      <c r="KU19">
        <v>4.0459930000000003E-3</v>
      </c>
      <c r="KV19">
        <v>-2.8981915E-2</v>
      </c>
      <c r="KW19">
        <v>2.5192481999999999E-2</v>
      </c>
      <c r="KX19">
        <v>-2.2455016000000001E-2</v>
      </c>
      <c r="KY19">
        <v>2.2115197E-2</v>
      </c>
      <c r="KZ19">
        <v>3.2010216000000001E-2</v>
      </c>
      <c r="LA19">
        <v>-3.7148062000000003E-2</v>
      </c>
      <c r="LB19">
        <v>-3.5249256E-2</v>
      </c>
      <c r="LC19">
        <v>1.716092E-2</v>
      </c>
      <c r="LD19">
        <v>4.2834880000000002E-3</v>
      </c>
      <c r="LE19">
        <v>3.1825777E-2</v>
      </c>
      <c r="LF19">
        <v>0.11387306</v>
      </c>
      <c r="LG19">
        <v>5.0473459999999998E-2</v>
      </c>
      <c r="LH19">
        <v>-3.0156042000000001E-2</v>
      </c>
      <c r="LI19">
        <v>4.111066E-2</v>
      </c>
      <c r="LJ19">
        <v>-1.1586564000000001E-2</v>
      </c>
      <c r="LK19">
        <v>-1.5841685000000001E-2</v>
      </c>
      <c r="LL19">
        <v>-1.4428995E-2</v>
      </c>
      <c r="LM19">
        <v>1.5453581E-3</v>
      </c>
      <c r="LN19">
        <v>-9.7981973999999999E-2</v>
      </c>
      <c r="LO19">
        <v>-2.1364015E-2</v>
      </c>
      <c r="LP19">
        <v>9.7299080000000007E-3</v>
      </c>
      <c r="LQ19">
        <v>-3.3159550000000003E-2</v>
      </c>
      <c r="LR19">
        <v>1.2416272000000001E-2</v>
      </c>
      <c r="LS19">
        <v>8.6994559999999995E-3</v>
      </c>
      <c r="LT19">
        <v>1.1305256E-2</v>
      </c>
      <c r="LU19">
        <v>-1.5075593999999999E-2</v>
      </c>
      <c r="LV19">
        <v>-6.4496090000000002E-3</v>
      </c>
      <c r="LW19">
        <v>3.0051515000000001E-2</v>
      </c>
      <c r="LX19">
        <v>-1.9594694999999999E-2</v>
      </c>
      <c r="LY19">
        <v>-2.348826E-2</v>
      </c>
      <c r="LZ19">
        <v>4.4522736E-2</v>
      </c>
      <c r="MA19">
        <v>2.886325E-2</v>
      </c>
      <c r="MB19">
        <v>-3.1137567000000001E-2</v>
      </c>
      <c r="MC19">
        <v>2.9836004999999999E-2</v>
      </c>
      <c r="MD19">
        <v>-1.4000254E-2</v>
      </c>
      <c r="ME19">
        <v>7.0199385000000003E-2</v>
      </c>
      <c r="MF19">
        <v>1.04095365E-4</v>
      </c>
      <c r="MG19">
        <v>8.4733219999999998E-2</v>
      </c>
      <c r="MH19">
        <v>-2.6110088E-2</v>
      </c>
      <c r="MI19">
        <v>6.8458850000000002E-2</v>
      </c>
      <c r="MJ19">
        <v>-4.3001324E-3</v>
      </c>
      <c r="MK19">
        <v>-4.7992050000000001E-2</v>
      </c>
      <c r="ML19">
        <v>-3.2618027000000001E-2</v>
      </c>
      <c r="MM19">
        <v>6.0924925000000003E-3</v>
      </c>
      <c r="MN19">
        <v>5.3244747000000002E-2</v>
      </c>
      <c r="MO19">
        <v>-5.2926317000000001E-2</v>
      </c>
      <c r="MP19">
        <v>-3.9906047E-2</v>
      </c>
      <c r="MQ19">
        <v>-1.6292055999999999E-2</v>
      </c>
      <c r="MR19">
        <v>-9.3657559999999994E-3</v>
      </c>
      <c r="MS19">
        <v>3.1883771999999998E-2</v>
      </c>
      <c r="MT19">
        <v>-2.4817057E-2</v>
      </c>
      <c r="MU19">
        <v>7.5374720000000006E-2</v>
      </c>
      <c r="MV19">
        <v>-6.2578390000000003E-3</v>
      </c>
      <c r="MW19">
        <v>7.0777744000000004E-2</v>
      </c>
      <c r="MX19">
        <v>-2.2716877999999999E-2</v>
      </c>
      <c r="MY19">
        <v>-4.2954187999999997E-2</v>
      </c>
      <c r="MZ19">
        <v>9.540048E-4</v>
      </c>
      <c r="NA19">
        <v>-3.164372E-2</v>
      </c>
      <c r="NB19">
        <v>-4.1196015000000002E-2</v>
      </c>
      <c r="NC19">
        <v>9.5262660000000002E-3</v>
      </c>
      <c r="ND19">
        <v>2.36998E-2</v>
      </c>
      <c r="NE19">
        <v>2.8685677999999999E-2</v>
      </c>
      <c r="NF19">
        <v>-2.7948591999999999E-3</v>
      </c>
      <c r="NG19">
        <v>4.6070437999999998E-2</v>
      </c>
      <c r="NH19">
        <v>7.5890280000000004E-2</v>
      </c>
      <c r="NI19">
        <v>3.6316581999999999E-3</v>
      </c>
      <c r="NJ19">
        <v>-2.3004429999999999E-2</v>
      </c>
      <c r="NK19">
        <v>1.1237199999999999E-2</v>
      </c>
      <c r="NL19">
        <v>6.9718310000000006E-2</v>
      </c>
      <c r="NM19">
        <v>-3.2017940000000002E-2</v>
      </c>
      <c r="NN19">
        <v>-4.5337759999999998E-3</v>
      </c>
      <c r="NO19">
        <v>-7.9624619999999993E-2</v>
      </c>
      <c r="NP19">
        <v>1.5150838999999999E-2</v>
      </c>
      <c r="NQ19">
        <v>1.1412989E-2</v>
      </c>
      <c r="NR19">
        <v>2.0329674999999998E-2</v>
      </c>
      <c r="NS19">
        <v>-2.8068352999999998E-3</v>
      </c>
      <c r="NT19">
        <v>2.6922920000000002E-3</v>
      </c>
      <c r="NU19">
        <v>2.8492621999999999E-2</v>
      </c>
      <c r="NV19">
        <v>5.4900516000000003E-2</v>
      </c>
      <c r="NW19">
        <v>4.3700429999999998E-2</v>
      </c>
      <c r="NX19">
        <v>-7.5185653000000002E-3</v>
      </c>
      <c r="NY19">
        <v>-2.4893189999999999E-2</v>
      </c>
      <c r="NZ19">
        <v>-3.2764880000000003E-2</v>
      </c>
      <c r="OA19">
        <v>1.7277016999999999E-2</v>
      </c>
      <c r="OB19">
        <v>2.9868769999999999E-2</v>
      </c>
      <c r="OC19">
        <v>-6.8851540000000003E-2</v>
      </c>
      <c r="OD19">
        <v>-1.9922539999999999E-2</v>
      </c>
      <c r="OE19">
        <v>-5.4097953999999997E-2</v>
      </c>
      <c r="OF19">
        <v>-2.0068903E-3</v>
      </c>
      <c r="OG19">
        <v>-1.2261763E-2</v>
      </c>
      <c r="OH19">
        <v>-1.9748399999999999E-2</v>
      </c>
      <c r="OI19">
        <v>-2.3117254E-2</v>
      </c>
      <c r="OJ19">
        <v>8.0396620000000002E-2</v>
      </c>
      <c r="OK19">
        <v>-9.9704730000000005E-3</v>
      </c>
      <c r="OL19">
        <v>3.6767829999999999E-3</v>
      </c>
      <c r="OM19">
        <v>6.4895125E-3</v>
      </c>
      <c r="ON19">
        <v>-4.6697095000000001E-2</v>
      </c>
      <c r="OO19">
        <v>2.9641912999999999E-2</v>
      </c>
      <c r="OP19">
        <v>4.0166217999999997E-2</v>
      </c>
      <c r="OQ19">
        <v>5.7884916999999996E-4</v>
      </c>
      <c r="OR19">
        <v>2.0579632E-2</v>
      </c>
      <c r="OS19">
        <v>-1.5412027E-2</v>
      </c>
      <c r="OT19">
        <v>1.6218083000000001E-2</v>
      </c>
      <c r="OU19">
        <v>4.2625076999999997E-2</v>
      </c>
      <c r="OV19">
        <v>3.2394455999999999E-3</v>
      </c>
      <c r="OW19">
        <v>5.25954E-2</v>
      </c>
      <c r="OX19">
        <v>-1.0589298E-2</v>
      </c>
      <c r="OY19">
        <v>8.6819054999999999E-4</v>
      </c>
      <c r="OZ19">
        <v>-2.1853919999999999E-2</v>
      </c>
      <c r="PA19">
        <v>-2.8831751999999999E-2</v>
      </c>
      <c r="PB19">
        <v>-1.1466061E-2</v>
      </c>
      <c r="PC19">
        <v>7.2378250000000005E-2</v>
      </c>
      <c r="PD19">
        <v>-5.687623E-2</v>
      </c>
      <c r="PE19">
        <v>-6.6087080000000006E-2</v>
      </c>
      <c r="PF19">
        <v>3.3123332999999998E-2</v>
      </c>
      <c r="PG19">
        <v>1.2600577E-2</v>
      </c>
      <c r="PH19">
        <v>1.6607283E-2</v>
      </c>
      <c r="PI19">
        <v>1.6656317E-2</v>
      </c>
      <c r="PJ19">
        <v>1.6040950000000002E-2</v>
      </c>
      <c r="PK19">
        <v>-1.3434954000000001E-2</v>
      </c>
      <c r="PL19">
        <v>-1.1608448E-2</v>
      </c>
      <c r="PM19">
        <v>-1.9364433E-2</v>
      </c>
      <c r="PN19">
        <v>2.3472356E-2</v>
      </c>
      <c r="PO19">
        <v>8.0343579999999998E-2</v>
      </c>
      <c r="PP19">
        <v>-8.6990169999999999E-3</v>
      </c>
      <c r="PQ19">
        <v>-2.7542375000000001E-2</v>
      </c>
      <c r="PR19">
        <v>-2.0797046E-2</v>
      </c>
      <c r="PS19">
        <v>1.0197642999999999E-2</v>
      </c>
      <c r="PT19">
        <v>1.1005836999999999E-2</v>
      </c>
      <c r="PU19">
        <v>-3.6103012999999999E-3</v>
      </c>
      <c r="PV19">
        <v>7.5710467000000004E-3</v>
      </c>
      <c r="PW19">
        <v>2.3057459999999998E-2</v>
      </c>
      <c r="PX19">
        <v>5.1423113999999999E-2</v>
      </c>
      <c r="PY19">
        <v>-9.4213860000000003E-3</v>
      </c>
      <c r="PZ19">
        <v>4.8206085000000003E-3</v>
      </c>
      <c r="QA19">
        <v>1.5488343999999999E-2</v>
      </c>
      <c r="QB19">
        <v>-5.6881702999999999E-2</v>
      </c>
      <c r="QC19">
        <v>-4.5632289999999999E-2</v>
      </c>
      <c r="QD19">
        <v>4.6763024000000004E-3</v>
      </c>
      <c r="QE19">
        <v>-2.5529626999999999E-2</v>
      </c>
      <c r="QF19">
        <v>7.5368874000000002E-2</v>
      </c>
      <c r="QG19">
        <v>4.5437533000000002E-2</v>
      </c>
      <c r="QH19">
        <v>-2.6744777000000001E-2</v>
      </c>
      <c r="QI19">
        <v>-6.1719080000000003E-2</v>
      </c>
      <c r="QJ19">
        <v>8.4004214000000003E-4</v>
      </c>
      <c r="QK19">
        <v>1.1521739E-2</v>
      </c>
      <c r="QL19">
        <v>5.9191202999999996E-3</v>
      </c>
      <c r="QM19">
        <v>-5.8295990000000004E-3</v>
      </c>
      <c r="QN19">
        <v>1.7081250999999999E-2</v>
      </c>
      <c r="QO19">
        <v>9.1567166000000005E-2</v>
      </c>
      <c r="QP19">
        <v>-1.9304782999999999E-3</v>
      </c>
      <c r="QQ19">
        <v>1.6023617E-2</v>
      </c>
      <c r="QR19">
        <v>1.3836123000000001E-2</v>
      </c>
      <c r="QS19">
        <v>1.7085322999999999E-2</v>
      </c>
      <c r="QT19">
        <v>4.6241709999999998E-2</v>
      </c>
      <c r="QU19">
        <v>2.121543E-2</v>
      </c>
      <c r="QV19">
        <v>-1.5508005E-2</v>
      </c>
      <c r="QW19">
        <v>-3.9904009999999997E-2</v>
      </c>
      <c r="QX19">
        <v>2.60348E-2</v>
      </c>
      <c r="QY19">
        <v>4.6073967000000004E-3</v>
      </c>
      <c r="QZ19">
        <v>-3.1571303000000002E-2</v>
      </c>
      <c r="RA19">
        <v>-4.7418030000000002E-3</v>
      </c>
      <c r="RB19">
        <v>-1.5715841E-3</v>
      </c>
      <c r="RC19">
        <v>5.2371576000000003E-2</v>
      </c>
      <c r="RD19">
        <v>5.5936224999999999E-2</v>
      </c>
      <c r="RE19">
        <v>-1.6479338E-2</v>
      </c>
      <c r="RF19">
        <v>-7.2738899999999999E-3</v>
      </c>
      <c r="RG19">
        <v>6.3501539999999995E-2</v>
      </c>
      <c r="RH19">
        <v>-5.2612239999999998E-2</v>
      </c>
      <c r="RI19">
        <v>-5.7376613999999999E-3</v>
      </c>
      <c r="RJ19">
        <v>4.1891905000000004E-3</v>
      </c>
      <c r="RK19">
        <v>-1.6497906E-2</v>
      </c>
      <c r="RL19">
        <v>-6.5908133999999993E-2</v>
      </c>
      <c r="RM19">
        <v>-1.5173894E-2</v>
      </c>
      <c r="RN19">
        <v>3.3622151E-3</v>
      </c>
      <c r="RO19">
        <v>-3.1426045999999999E-2</v>
      </c>
      <c r="RP19">
        <v>3.425073E-2</v>
      </c>
      <c r="RQ19">
        <v>-1.5866539999999998E-2</v>
      </c>
      <c r="RR19">
        <v>-5.4446342000000003E-3</v>
      </c>
      <c r="RS19">
        <v>1.6443032999999999E-2</v>
      </c>
      <c r="RT19">
        <v>9.6550160000000006E-3</v>
      </c>
      <c r="RU19">
        <v>2.51918E-2</v>
      </c>
      <c r="RV19">
        <v>-2.6154318999999999E-2</v>
      </c>
      <c r="RW19">
        <v>-1.2447774999999999E-2</v>
      </c>
      <c r="RX19">
        <v>1.2899165000000001E-2</v>
      </c>
      <c r="RY19">
        <v>5.8938711999999997E-2</v>
      </c>
      <c r="RZ19">
        <v>-1.3853624E-2</v>
      </c>
      <c r="SA19">
        <v>-6.1905896E-3</v>
      </c>
      <c r="SB19">
        <v>-2.6766198000000001E-2</v>
      </c>
      <c r="SC19">
        <v>-8.6897230000000006E-2</v>
      </c>
      <c r="SD19">
        <v>-6.6649920000000001E-2</v>
      </c>
      <c r="SE19">
        <v>5.9544803000000004E-3</v>
      </c>
      <c r="SF19">
        <v>2.3144688E-2</v>
      </c>
      <c r="SG19">
        <v>2.6802930999999999E-2</v>
      </c>
      <c r="SH19">
        <v>-1.0440807999999999E-2</v>
      </c>
      <c r="SI19">
        <v>3.9464856999999999E-2</v>
      </c>
      <c r="SJ19">
        <v>3.8218500000000002E-2</v>
      </c>
      <c r="SK19">
        <v>3.5510720000000003E-2</v>
      </c>
      <c r="SL19">
        <v>2.8282360999999999E-2</v>
      </c>
      <c r="SM19">
        <v>1.6235346000000001E-2</v>
      </c>
      <c r="SN19">
        <v>-5.5285822999999998E-2</v>
      </c>
      <c r="SO19">
        <v>3.4200254999999999E-2</v>
      </c>
      <c r="SP19">
        <v>-6.8208879999999998E-3</v>
      </c>
      <c r="SQ19">
        <v>-4.1785013000000003E-2</v>
      </c>
      <c r="SR19">
        <v>-2.4061123E-2</v>
      </c>
      <c r="SS19">
        <v>-1.9490401E-3</v>
      </c>
      <c r="ST19">
        <v>3.6595450000000002E-2</v>
      </c>
      <c r="SU19">
        <v>-2.054868E-2</v>
      </c>
      <c r="SV19">
        <v>6.9711400000000007E-2</v>
      </c>
      <c r="SW19">
        <v>3.406385E-2</v>
      </c>
      <c r="SX19">
        <v>-5.9197920000000001E-3</v>
      </c>
      <c r="SY19">
        <v>5.1680423000000003E-2</v>
      </c>
      <c r="SZ19">
        <v>6.0737896999999999E-2</v>
      </c>
      <c r="TA19">
        <v>-3.4585230000000002E-2</v>
      </c>
      <c r="TB19">
        <v>-8.57061E-4</v>
      </c>
      <c r="TC19">
        <v>2.2183346999999999E-2</v>
      </c>
      <c r="TD19">
        <v>-1.0187036E-2</v>
      </c>
      <c r="TE19">
        <v>-1.0563886E-2</v>
      </c>
      <c r="TF19">
        <v>8.0550880000000002E-3</v>
      </c>
      <c r="TG19">
        <v>-7.5569529999999996E-2</v>
      </c>
      <c r="TH19">
        <v>-1.4397518999999999E-2</v>
      </c>
      <c r="TI19">
        <v>5.3089954000000002E-2</v>
      </c>
      <c r="TJ19">
        <v>-2.6330039E-2</v>
      </c>
      <c r="TK19">
        <v>6.7406369999999993E-2</v>
      </c>
      <c r="TL19">
        <v>4.3874839999999998E-2</v>
      </c>
      <c r="TM19">
        <v>6.9242180000000002E-3</v>
      </c>
      <c r="TN19">
        <v>-3.5079399999999997E-2</v>
      </c>
      <c r="TO19">
        <v>4.2217354999999998E-2</v>
      </c>
      <c r="TP19">
        <v>1.539329E-2</v>
      </c>
      <c r="TQ19">
        <v>3.3947557000000003E-2</v>
      </c>
      <c r="TR19">
        <v>1.1743226000000001E-2</v>
      </c>
      <c r="TS19">
        <v>-1.2168231999999999E-2</v>
      </c>
      <c r="TT19">
        <v>-3.0734021E-2</v>
      </c>
      <c r="TU19">
        <v>-1.5161060000000001E-2</v>
      </c>
      <c r="TV19">
        <v>-1.1986642E-2</v>
      </c>
      <c r="TW19">
        <v>2.5292438E-2</v>
      </c>
      <c r="TX19">
        <v>-2.9455675000000001E-2</v>
      </c>
      <c r="TY19">
        <v>1.4097147000000001E-3</v>
      </c>
      <c r="TZ19">
        <v>-6.8245883999999996E-3</v>
      </c>
      <c r="UA19">
        <v>-9.7705429999999996E-3</v>
      </c>
      <c r="UB19">
        <v>-4.3987884999999997E-2</v>
      </c>
      <c r="UC19">
        <v>-2.6763723999999999E-2</v>
      </c>
      <c r="UD19">
        <v>-1.729E-2</v>
      </c>
      <c r="UE19">
        <v>-3.4581083999999998E-2</v>
      </c>
      <c r="UF19">
        <v>-5.183654E-2</v>
      </c>
      <c r="UG19">
        <v>2.6606942000000001E-2</v>
      </c>
      <c r="UH19">
        <v>-6.939273E-2</v>
      </c>
      <c r="UI19">
        <v>-1.3059665E-2</v>
      </c>
      <c r="UJ19">
        <v>-7.4974120000000002E-3</v>
      </c>
      <c r="UK19">
        <v>1.7339928000000001E-2</v>
      </c>
      <c r="UL19">
        <v>-6.8256720000000007E-2</v>
      </c>
      <c r="UM19">
        <v>-3.562162E-2</v>
      </c>
      <c r="UN19">
        <v>-1.0499387000000001E-2</v>
      </c>
      <c r="UO19">
        <v>3.4888389999999998E-2</v>
      </c>
      <c r="UP19">
        <v>2.1305353999999999E-2</v>
      </c>
      <c r="UQ19">
        <v>6.3763710000000001E-2</v>
      </c>
      <c r="UR19">
        <v>-2.9710626E-2</v>
      </c>
      <c r="US19">
        <v>1.9067733999999999E-2</v>
      </c>
      <c r="UT19">
        <v>6.4036800000000005E-2</v>
      </c>
      <c r="UU19">
        <v>2.6574503000000001E-3</v>
      </c>
      <c r="UV19">
        <v>-6.9151309999999997E-3</v>
      </c>
      <c r="UW19">
        <v>-5.3069186000000001E-3</v>
      </c>
      <c r="UX19">
        <v>-1.5124092E-2</v>
      </c>
      <c r="UY19">
        <v>1.246075E-2</v>
      </c>
      <c r="UZ19">
        <v>-8.239382E-3</v>
      </c>
      <c r="VA19">
        <v>-1.6699431000000001E-2</v>
      </c>
      <c r="VB19">
        <v>-4.6894323000000002E-2</v>
      </c>
      <c r="VC19">
        <v>2.6606156999999998E-2</v>
      </c>
      <c r="VD19">
        <v>2.3334905999999999E-2</v>
      </c>
      <c r="VE19">
        <v>1.4081483000000001E-2</v>
      </c>
      <c r="VF19">
        <v>1.2141404E-2</v>
      </c>
      <c r="VG19">
        <v>1.5479009E-2</v>
      </c>
      <c r="VH19">
        <v>4.5486938E-4</v>
      </c>
      <c r="VI19">
        <v>-2.0185938E-2</v>
      </c>
      <c r="VJ19">
        <v>-5.5708109999999998E-2</v>
      </c>
      <c r="VK19">
        <v>3.6683823999999997E-2</v>
      </c>
      <c r="VL19">
        <v>-2.1266750000000001E-2</v>
      </c>
      <c r="VM19">
        <v>-2.6755886999999998E-3</v>
      </c>
      <c r="VN19">
        <v>2.9168306000000001E-2</v>
      </c>
      <c r="VO19">
        <v>1.9951834999999999E-3</v>
      </c>
      <c r="VP19">
        <v>-1.9317837000000001E-2</v>
      </c>
      <c r="VQ19">
        <v>1.5708992E-3</v>
      </c>
      <c r="VR19">
        <v>9.6051120000000007E-3</v>
      </c>
      <c r="VS19">
        <v>5.1737972999999996E-3</v>
      </c>
      <c r="VT19">
        <v>-4.8335669999999997E-2</v>
      </c>
      <c r="VU19">
        <v>-3.2730746999999998E-2</v>
      </c>
      <c r="VV19">
        <v>-2.6406751999999999E-2</v>
      </c>
      <c r="VW19">
        <v>4.3040822999999999E-2</v>
      </c>
      <c r="VX19">
        <v>-7.1857114999999997E-3</v>
      </c>
      <c r="VY19">
        <v>-1.9431648999999999E-2</v>
      </c>
      <c r="VZ19">
        <v>1.6870105999999999E-2</v>
      </c>
      <c r="WA19">
        <v>9.3800089999999999E-3</v>
      </c>
      <c r="WB19">
        <v>3.6638047999999999E-2</v>
      </c>
      <c r="WC19">
        <v>-9.867041E-3</v>
      </c>
      <c r="WD19">
        <v>-5.8601350000000003E-2</v>
      </c>
      <c r="WE19">
        <v>2.8617704000000001E-2</v>
      </c>
      <c r="WF19">
        <v>-2.6766834999999999E-2</v>
      </c>
      <c r="WG19">
        <v>5.2790400000000001E-2</v>
      </c>
      <c r="WH19">
        <v>-4.9367398E-2</v>
      </c>
      <c r="WI19">
        <v>3.3236053000000002E-2</v>
      </c>
      <c r="WJ19">
        <v>2.2249079999999998E-3</v>
      </c>
      <c r="WK19">
        <v>-3.0408364E-2</v>
      </c>
      <c r="WL19">
        <v>5.2025639999999998E-3</v>
      </c>
      <c r="WM19">
        <v>-2.4455017999999999E-2</v>
      </c>
      <c r="WN19">
        <v>-2.3358501E-2</v>
      </c>
      <c r="WO19">
        <v>-6.2445863000000004E-3</v>
      </c>
      <c r="WP19">
        <v>-1.032138E-2</v>
      </c>
      <c r="WQ19">
        <v>-1.4598287E-2</v>
      </c>
      <c r="WR19">
        <v>6.5745491999999999E-3</v>
      </c>
      <c r="WS19">
        <v>1.9631842E-2</v>
      </c>
      <c r="WT19">
        <v>-1.5214017E-2</v>
      </c>
      <c r="WU19">
        <v>1.9500569999999998E-2</v>
      </c>
      <c r="WV19">
        <v>-3.1861104000000001E-2</v>
      </c>
      <c r="WW19">
        <v>-4.4512924000000002E-2</v>
      </c>
      <c r="WX19">
        <v>-4.6879746E-2</v>
      </c>
      <c r="WY19">
        <v>1.1945525E-2</v>
      </c>
      <c r="WZ19">
        <v>-6.5817710000000001E-2</v>
      </c>
      <c r="XA19">
        <v>4.1049929999999998E-2</v>
      </c>
      <c r="XB19">
        <v>3.7783345000000001E-3</v>
      </c>
      <c r="XC19">
        <v>2.7097916E-2</v>
      </c>
      <c r="XD19">
        <v>-1.3022798E-2</v>
      </c>
      <c r="XE19">
        <v>-2.5466628000000002E-2</v>
      </c>
      <c r="XF19">
        <v>1.0497532E-2</v>
      </c>
      <c r="XG19">
        <v>4.1332349999999997E-2</v>
      </c>
      <c r="XH19">
        <v>7.6425309999999996E-2</v>
      </c>
      <c r="XI19">
        <v>-1.112523E-2</v>
      </c>
      <c r="XJ19">
        <v>6.4112730000000007E-2</v>
      </c>
      <c r="XK19">
        <v>-1.2960951E-2</v>
      </c>
      <c r="XL19">
        <v>-6.1677974000000003E-2</v>
      </c>
      <c r="XM19">
        <v>-5.4912900000000001E-2</v>
      </c>
      <c r="XN19">
        <v>-1.8414993000000001E-2</v>
      </c>
      <c r="XO19">
        <v>-3.1751394000000002E-2</v>
      </c>
      <c r="XP19">
        <v>-3.4003529999999997E-2</v>
      </c>
      <c r="XQ19">
        <v>-3.4185032999999997E-2</v>
      </c>
      <c r="XR19">
        <v>1.7373619999999999E-2</v>
      </c>
      <c r="XS19">
        <v>-9.6838359999999995E-3</v>
      </c>
      <c r="XT19">
        <v>-5.9718515999999999E-2</v>
      </c>
      <c r="XU19">
        <v>-1.3988270000000001E-2</v>
      </c>
      <c r="XV19">
        <v>-3.0116048E-3</v>
      </c>
      <c r="XW19">
        <v>3.6630593000000003E-2</v>
      </c>
      <c r="XX19">
        <v>-5.4891664999999999E-2</v>
      </c>
      <c r="XY19">
        <v>-1.5715995999999999E-2</v>
      </c>
      <c r="XZ19">
        <v>-4.8646484999999998E-3</v>
      </c>
      <c r="YA19">
        <v>6.3492290000000007E-2</v>
      </c>
      <c r="YB19">
        <v>-4.2381990000000001E-2</v>
      </c>
      <c r="YC19">
        <v>9.2304700000000003E-2</v>
      </c>
      <c r="YD19">
        <v>8.4729479999999996E-2</v>
      </c>
      <c r="YE19">
        <v>-1.0850264E-2</v>
      </c>
      <c r="YF19">
        <v>2.3462633E-3</v>
      </c>
      <c r="YG19">
        <v>-6.8646014000000005E-2</v>
      </c>
      <c r="YH19">
        <v>-6.3361390000000002E-3</v>
      </c>
      <c r="YI19">
        <v>3.0861268000000001E-2</v>
      </c>
      <c r="YJ19">
        <v>-7.7447269999999999E-2</v>
      </c>
      <c r="YK19">
        <v>-6.6099400000000003E-2</v>
      </c>
      <c r="YL19">
        <v>-1.236655E-2</v>
      </c>
      <c r="YM19">
        <v>-1.6310234E-2</v>
      </c>
      <c r="YN19">
        <v>-9.4143149999999995E-3</v>
      </c>
      <c r="YO19">
        <v>-7.1727914000000003E-6</v>
      </c>
      <c r="YP19">
        <v>3.5469277999999999E-3</v>
      </c>
      <c r="YQ19">
        <v>4.6764696000000001E-3</v>
      </c>
      <c r="YR19">
        <v>3.6683346999999998E-2</v>
      </c>
      <c r="YS19">
        <v>6.7615126999999997E-3</v>
      </c>
      <c r="YT19">
        <v>-9.2928620000000007E-3</v>
      </c>
      <c r="YU19">
        <v>-3.1083449999999999E-2</v>
      </c>
      <c r="YV19">
        <v>-1.51830735E-2</v>
      </c>
      <c r="YW19">
        <v>9.6258079999999996E-3</v>
      </c>
      <c r="YX19">
        <v>1.4495486E-2</v>
      </c>
      <c r="YY19">
        <v>2.4621173999999999E-2</v>
      </c>
      <c r="YZ19">
        <v>2.1268430000000001E-2</v>
      </c>
      <c r="ZA19">
        <v>2.6760875999999999E-2</v>
      </c>
      <c r="ZB19">
        <v>5.0780279999999997E-2</v>
      </c>
      <c r="ZC19">
        <v>2.8253077000000001E-2</v>
      </c>
      <c r="ZD19">
        <v>1.5270367999999999E-2</v>
      </c>
      <c r="ZE19">
        <v>-2.9523047E-2</v>
      </c>
      <c r="ZF19">
        <v>-5.0877128000000001E-2</v>
      </c>
      <c r="ZG19">
        <v>1.4139315E-2</v>
      </c>
      <c r="ZH19">
        <v>-5.0909624000000001E-2</v>
      </c>
      <c r="ZI19">
        <v>2.1536063000000001E-2</v>
      </c>
      <c r="ZJ19">
        <v>9.84434E-3</v>
      </c>
      <c r="ZK19">
        <v>5.7130109999999996E-3</v>
      </c>
      <c r="ZL19">
        <v>-4.9467348000000001E-2</v>
      </c>
      <c r="ZM19">
        <v>-6.1059995999999998E-2</v>
      </c>
      <c r="ZN19">
        <v>1.5375332E-2</v>
      </c>
      <c r="ZO19">
        <v>1.341703E-2</v>
      </c>
      <c r="ZP19">
        <v>6.3467019999999999E-2</v>
      </c>
      <c r="ZQ19">
        <v>-3.3629680000000002E-2</v>
      </c>
      <c r="ZR19">
        <v>-8.0387739999999999E-2</v>
      </c>
      <c r="ZS19">
        <v>5.3020070000000001E-3</v>
      </c>
      <c r="ZT19">
        <v>-3.5079103E-2</v>
      </c>
      <c r="ZU19">
        <v>-7.1813514999999996E-3</v>
      </c>
      <c r="ZV19">
        <v>-2.8950575999999999E-2</v>
      </c>
      <c r="ZW19">
        <v>-1.9492129E-2</v>
      </c>
      <c r="ZX19">
        <v>-3.7628374999999999E-2</v>
      </c>
      <c r="ZY19">
        <v>-3.8522835999999998E-2</v>
      </c>
      <c r="ZZ19">
        <v>4.5739993E-2</v>
      </c>
      <c r="AAA19">
        <v>2.2347421999999999E-2</v>
      </c>
      <c r="AAB19">
        <v>1.6377624E-2</v>
      </c>
      <c r="AAC19">
        <v>-1.2185658E-2</v>
      </c>
      <c r="AAD19">
        <v>6.3975909999999997E-2</v>
      </c>
      <c r="AAE19">
        <v>-0.1238573</v>
      </c>
      <c r="AAF19">
        <v>-6.1284320000000003E-2</v>
      </c>
      <c r="AAG19">
        <v>6.7628410000000003E-3</v>
      </c>
      <c r="AAH19">
        <v>-2.6602239999999999E-2</v>
      </c>
      <c r="AAI19">
        <v>1.9810390000000001E-2</v>
      </c>
      <c r="AAJ19">
        <v>-2.8783362E-2</v>
      </c>
      <c r="AAK19">
        <v>-1.4485422E-2</v>
      </c>
      <c r="AAL19">
        <v>3.3040103000000001E-2</v>
      </c>
      <c r="AAM19">
        <v>-1.803629E-2</v>
      </c>
      <c r="AAN19">
        <v>-4.2533055000000004E-3</v>
      </c>
      <c r="AAO19">
        <v>4.7674271999999997E-2</v>
      </c>
      <c r="AAP19">
        <v>4.001325E-2</v>
      </c>
      <c r="AAQ19">
        <v>5.4214195999999996E-3</v>
      </c>
      <c r="AAR19">
        <v>-3.9970905000000001E-2</v>
      </c>
      <c r="AAS19">
        <v>-1.6961196000000001E-2</v>
      </c>
      <c r="AAT19">
        <v>2.8850681999999999E-2</v>
      </c>
      <c r="AAU19">
        <v>-1.6477552999999999E-2</v>
      </c>
      <c r="AAV19">
        <v>3.5096479999999999E-2</v>
      </c>
      <c r="AAW19">
        <v>-8.9220720000000003E-2</v>
      </c>
      <c r="AAX19">
        <v>-7.040093E-2</v>
      </c>
      <c r="AAY19">
        <v>-1.245452E-2</v>
      </c>
      <c r="AAZ19">
        <v>-3.6044616000000002E-2</v>
      </c>
      <c r="ABA19">
        <v>4.1654028000000003E-2</v>
      </c>
      <c r="ABB19">
        <v>-1.3159504000000001E-2</v>
      </c>
      <c r="ABC19">
        <v>3.3330842999999999E-2</v>
      </c>
      <c r="ABD19">
        <v>3.4428134999999999E-2</v>
      </c>
      <c r="ABE19">
        <v>2.7040502000000001E-2</v>
      </c>
      <c r="ABF19">
        <v>-1.0450432000000001E-2</v>
      </c>
      <c r="ABG19">
        <v>-9.3111600000000006E-3</v>
      </c>
      <c r="ABH19">
        <v>7.1297929999999995E-2</v>
      </c>
      <c r="ABI19">
        <v>-4.8282131999999997E-3</v>
      </c>
      <c r="ABJ19">
        <v>1.3676746E-2</v>
      </c>
      <c r="ABK19">
        <v>-3.4898539999999999E-2</v>
      </c>
      <c r="ABL19">
        <v>-2.3503962999999999E-2</v>
      </c>
      <c r="ABM19">
        <v>-3.3403490000000001E-2</v>
      </c>
      <c r="ABN19">
        <v>3.0578434999999999E-3</v>
      </c>
      <c r="ABO19">
        <v>-8.3199429999999998E-3</v>
      </c>
      <c r="ABP19">
        <v>-2.3123202999999998E-2</v>
      </c>
      <c r="ABQ19">
        <v>-3.0004757000000001E-3</v>
      </c>
      <c r="ABR19">
        <v>-2.6183918E-2</v>
      </c>
      <c r="ABS19">
        <v>-3.0428945999999998E-2</v>
      </c>
      <c r="ABT19">
        <v>-3.5967129999999999E-4</v>
      </c>
      <c r="ABU19">
        <v>7.4980324000000001E-3</v>
      </c>
      <c r="ABV19">
        <v>-4.0872169999999999E-2</v>
      </c>
      <c r="ABW19">
        <v>2.5821848000000001E-2</v>
      </c>
      <c r="ABX19">
        <v>-3.8031265000000002E-2</v>
      </c>
      <c r="ABY19">
        <v>1.248728E-2</v>
      </c>
      <c r="ABZ19">
        <v>-7.6231190000000004E-2</v>
      </c>
      <c r="ACA19">
        <v>-1.6363049000000001E-2</v>
      </c>
      <c r="ACB19">
        <v>3.1364578999999999E-3</v>
      </c>
      <c r="ACC19">
        <v>-1.3742642500000001E-2</v>
      </c>
      <c r="ACD19">
        <v>2.9874008000000001E-2</v>
      </c>
      <c r="ACE19">
        <v>-1.2506692E-2</v>
      </c>
      <c r="ACF19">
        <v>2.2070736000000001E-2</v>
      </c>
      <c r="ACG19">
        <v>8.2699789999999995E-2</v>
      </c>
      <c r="ACH19">
        <v>6.6676736E-2</v>
      </c>
      <c r="ACI19">
        <v>6.5803570000000006E-2</v>
      </c>
      <c r="ACJ19">
        <v>2.2884689999999999E-2</v>
      </c>
      <c r="ACK19">
        <v>3.7546070000000001E-2</v>
      </c>
      <c r="ACL19">
        <v>5.6804609999999998E-2</v>
      </c>
      <c r="ACM19">
        <v>5.8187203999999996E-3</v>
      </c>
      <c r="ACN19">
        <v>-9.5327629999999997E-3</v>
      </c>
      <c r="ACO19">
        <v>-5.0832883000000002E-2</v>
      </c>
      <c r="ACP19">
        <v>-1.7206045E-2</v>
      </c>
    </row>
    <row r="20" spans="1:770" x14ac:dyDescent="0.5">
      <c r="B20">
        <v>-3.4503654000000002E-2</v>
      </c>
      <c r="C20" s="27">
        <v>-5.4057059999999997E-3</v>
      </c>
      <c r="D20">
        <v>-1.1461694E-2</v>
      </c>
      <c r="E20">
        <v>-0.17554839999999999</v>
      </c>
      <c r="F20">
        <v>-2.3837684000000001E-2</v>
      </c>
      <c r="G20" s="27">
        <v>8.2023524E-2</v>
      </c>
      <c r="H20">
        <v>-2.0661162E-2</v>
      </c>
      <c r="I20">
        <v>6.0076143999999998E-2</v>
      </c>
      <c r="J20">
        <v>-2.2146252000000001E-3</v>
      </c>
      <c r="K20">
        <v>9.5534590000000003E-3</v>
      </c>
      <c r="L20">
        <v>-5.9850607000000002E-3</v>
      </c>
      <c r="M20">
        <v>1.0438467999999999E-2</v>
      </c>
      <c r="N20">
        <v>5.4618756999999997E-2</v>
      </c>
      <c r="O20">
        <v>5.9799900000000003E-2</v>
      </c>
      <c r="P20">
        <v>2.6660224E-2</v>
      </c>
      <c r="Q20">
        <v>2.2333459999999999E-2</v>
      </c>
      <c r="R20">
        <v>-5.9392033000000002E-3</v>
      </c>
      <c r="S20">
        <v>-2.7220549E-2</v>
      </c>
      <c r="T20">
        <v>-2.6135623E-2</v>
      </c>
      <c r="U20">
        <v>-3.4885069999999997E-2</v>
      </c>
      <c r="V20">
        <v>2.2104559999999999E-2</v>
      </c>
      <c r="W20">
        <v>1.2871769999999999E-2</v>
      </c>
      <c r="X20">
        <v>-5.9244341999999998E-2</v>
      </c>
      <c r="Y20">
        <v>-9.481523E-2</v>
      </c>
      <c r="Z20">
        <v>-2.1370139E-2</v>
      </c>
      <c r="AA20">
        <v>6.4380080000000006E-2</v>
      </c>
      <c r="AB20">
        <v>5.029086E-2</v>
      </c>
      <c r="AC20">
        <v>-8.1784499999999999E-4</v>
      </c>
      <c r="AD20">
        <v>3.3718202000000003E-2</v>
      </c>
      <c r="AE20">
        <v>-3.9737366000000003E-2</v>
      </c>
      <c r="AF20">
        <v>-4.6645015999999999E-3</v>
      </c>
      <c r="AG20">
        <v>5.9913429999999997E-3</v>
      </c>
      <c r="AH20">
        <v>3.9587944999999999E-2</v>
      </c>
      <c r="AI20">
        <v>2.6259370000000001E-3</v>
      </c>
      <c r="AJ20">
        <v>-1.8865707999999998E-2</v>
      </c>
      <c r="AK20">
        <v>-7.580982E-2</v>
      </c>
      <c r="AL20">
        <v>7.3962803000000004E-3</v>
      </c>
      <c r="AM20">
        <v>1.8781504000000001E-2</v>
      </c>
      <c r="AN20">
        <v>-3.6485120000000003E-2</v>
      </c>
      <c r="AO20">
        <v>-2.8802125000000001E-2</v>
      </c>
      <c r="AP20">
        <v>1.4688211499999999E-2</v>
      </c>
      <c r="AQ20">
        <v>1.694911E-2</v>
      </c>
      <c r="AR20">
        <v>1.9468811999999999E-2</v>
      </c>
      <c r="AS20">
        <v>-1.0514335E-2</v>
      </c>
      <c r="AT20">
        <v>-2.2782444999999998E-2</v>
      </c>
      <c r="AU20">
        <v>7.5214279999999994E-2</v>
      </c>
      <c r="AV20">
        <v>-1.7527474000000001E-2</v>
      </c>
      <c r="AW20">
        <v>4.1025552999999999E-2</v>
      </c>
      <c r="AX20">
        <v>3.0831238E-2</v>
      </c>
      <c r="AY20">
        <v>4.9078259999999999E-2</v>
      </c>
      <c r="AZ20">
        <v>-4.5858547000000001E-3</v>
      </c>
      <c r="BA20">
        <v>-2.3538225999999999E-2</v>
      </c>
      <c r="BB20">
        <v>-3.6278433999999998E-2</v>
      </c>
      <c r="BC20">
        <v>1.2877446000000001E-2</v>
      </c>
      <c r="BD20">
        <v>6.3879290000000005E-2</v>
      </c>
      <c r="BE20">
        <v>7.1597924E-3</v>
      </c>
      <c r="BF20">
        <v>-1.9452618000000001E-2</v>
      </c>
      <c r="BG20">
        <v>2.9352779999999998E-2</v>
      </c>
      <c r="BH20">
        <v>2.4265209999999999E-2</v>
      </c>
      <c r="BI20">
        <v>1.2815806000000001E-2</v>
      </c>
      <c r="BJ20">
        <v>-2.7654004999999999E-2</v>
      </c>
      <c r="BK20">
        <v>9.5367349999999993E-3</v>
      </c>
      <c r="BL20">
        <v>3.3371053999999997E-2</v>
      </c>
      <c r="BM20">
        <v>-1.8599500000000001E-2</v>
      </c>
      <c r="BN20">
        <v>0.106565535</v>
      </c>
      <c r="BO20">
        <v>5.7764799999999998E-2</v>
      </c>
      <c r="BP20">
        <v>-1.3728706E-3</v>
      </c>
      <c r="BQ20">
        <v>-2.9257437000000001E-2</v>
      </c>
      <c r="BR20">
        <v>3.7722733000000001E-2</v>
      </c>
      <c r="BS20">
        <v>-1.3716297000000001E-2</v>
      </c>
      <c r="BT20">
        <v>-1.7777830000000001E-2</v>
      </c>
      <c r="BU20">
        <v>2.7291926000000001E-2</v>
      </c>
      <c r="BV20">
        <v>-8.3871799999999993E-3</v>
      </c>
      <c r="BW20">
        <v>2.7738918000000001E-2</v>
      </c>
      <c r="BX20">
        <v>1.2712964E-3</v>
      </c>
      <c r="BY20">
        <v>-3.6574263000000003E-2</v>
      </c>
      <c r="BZ20">
        <v>-5.315887E-3</v>
      </c>
      <c r="CA20">
        <v>-4.53234E-2</v>
      </c>
      <c r="CB20">
        <v>-4.4463713000000002E-2</v>
      </c>
      <c r="CC20">
        <v>-6.6274474E-3</v>
      </c>
      <c r="CD20">
        <v>3.9064214E-2</v>
      </c>
      <c r="CE20">
        <v>2.592042E-2</v>
      </c>
      <c r="CF20">
        <v>-3.0345256000000001E-2</v>
      </c>
      <c r="CG20">
        <v>-8.495931E-3</v>
      </c>
      <c r="CH20">
        <v>-1.5526155999999999E-2</v>
      </c>
      <c r="CI20">
        <v>4.4531993999999998E-2</v>
      </c>
      <c r="CJ20">
        <v>5.8043904999999999E-4</v>
      </c>
      <c r="CK20">
        <v>-2.0902972999999998E-2</v>
      </c>
      <c r="CL20">
        <v>-2.4617955E-2</v>
      </c>
      <c r="CM20">
        <v>-6.663869E-2</v>
      </c>
      <c r="CN20">
        <v>6.5190670000000006E-2</v>
      </c>
      <c r="CO20">
        <v>2.1728171000000001E-2</v>
      </c>
      <c r="CP20">
        <v>7.5442290000000002E-4</v>
      </c>
      <c r="CQ20">
        <v>2.2357957000000001E-2</v>
      </c>
      <c r="CR20">
        <v>1.3036127E-2</v>
      </c>
      <c r="CS20">
        <v>-5.6288379999999999E-2</v>
      </c>
      <c r="CT20">
        <v>1.9176942999999998E-2</v>
      </c>
      <c r="CU20">
        <v>6.2487656000000001E-3</v>
      </c>
      <c r="CV20">
        <v>-3.1264313000000002E-2</v>
      </c>
      <c r="CW20">
        <v>-6.6601955000000004E-3</v>
      </c>
      <c r="CX20">
        <v>-6.5792199999999995E-2</v>
      </c>
      <c r="CY20">
        <v>-7.2411039999999999E-3</v>
      </c>
      <c r="CZ20">
        <v>-2.3739856E-2</v>
      </c>
      <c r="DA20">
        <v>-3.1093260000000001E-2</v>
      </c>
      <c r="DB20">
        <v>4.955437E-3</v>
      </c>
      <c r="DC20">
        <v>4.0537927000000001E-2</v>
      </c>
      <c r="DD20">
        <v>9.5413979999999995E-3</v>
      </c>
      <c r="DE20">
        <v>-3.9672773000000001E-2</v>
      </c>
      <c r="DF20">
        <v>6.3596020000000003E-2</v>
      </c>
      <c r="DG20">
        <v>2.2474285E-2</v>
      </c>
      <c r="DH20">
        <v>2.308493E-3</v>
      </c>
      <c r="DI20">
        <v>-1.0530678999999999E-2</v>
      </c>
      <c r="DJ20">
        <v>-2.9474482E-2</v>
      </c>
      <c r="DK20">
        <v>-2.6856680000000001E-2</v>
      </c>
      <c r="DL20">
        <v>-3.1994689999999999E-2</v>
      </c>
      <c r="DM20">
        <v>4.7244120000000001E-2</v>
      </c>
      <c r="DN20">
        <v>5.7562810000000002E-3</v>
      </c>
      <c r="DO20">
        <v>7.100033E-2</v>
      </c>
      <c r="DP20">
        <v>-1.6538031000000002E-2</v>
      </c>
      <c r="DQ20">
        <v>-3.6194089999999998E-2</v>
      </c>
      <c r="DR20">
        <v>1.4182505E-2</v>
      </c>
      <c r="DS20">
        <v>2.4314751E-4</v>
      </c>
      <c r="DT20">
        <v>-5.8226563000000002E-2</v>
      </c>
      <c r="DU20">
        <v>-2.8380995999999999E-2</v>
      </c>
      <c r="DV20">
        <v>-1.8165356999999999E-4</v>
      </c>
      <c r="DW20">
        <v>-3.583807E-2</v>
      </c>
      <c r="DX20">
        <v>7.2597510000000001E-3</v>
      </c>
      <c r="DY20">
        <v>-2.6285619E-2</v>
      </c>
      <c r="DZ20">
        <v>4.5876226999999999E-2</v>
      </c>
      <c r="EA20">
        <v>-1.3008100999999999E-2</v>
      </c>
      <c r="EB20">
        <v>-4.1720439999999998E-2</v>
      </c>
      <c r="EC20">
        <v>-2.3194326000000001E-2</v>
      </c>
      <c r="ED20">
        <v>-3.2777697000000001E-2</v>
      </c>
      <c r="EE20">
        <v>-6.2845990000000004E-2</v>
      </c>
      <c r="EF20">
        <v>-1.7624704000000001E-2</v>
      </c>
      <c r="EG20">
        <v>-4.0604644000000002E-2</v>
      </c>
      <c r="EH20">
        <v>-1.6623734000000001E-2</v>
      </c>
      <c r="EI20">
        <v>-2.8698837000000001E-2</v>
      </c>
      <c r="EJ20">
        <v>8.9675620000000001E-3</v>
      </c>
      <c r="EK20">
        <v>5.1380698000000002E-2</v>
      </c>
      <c r="EL20">
        <v>4.1021950000000001E-2</v>
      </c>
      <c r="EM20">
        <v>5.4884054000000002E-2</v>
      </c>
      <c r="EN20">
        <v>3.7600115000000003E-2</v>
      </c>
      <c r="EO20">
        <v>3.2472244999999997E-2</v>
      </c>
      <c r="EP20">
        <v>1.7067105999999999E-2</v>
      </c>
      <c r="EQ20">
        <v>4.7585969999999998E-2</v>
      </c>
      <c r="ER20">
        <v>-6.9348960000000001E-2</v>
      </c>
      <c r="ES20">
        <v>4.6031177E-2</v>
      </c>
      <c r="ET20">
        <v>1.5400924E-2</v>
      </c>
      <c r="EU20">
        <v>3.1544026000000003E-2</v>
      </c>
      <c r="EV20">
        <v>-1.9694807000000002E-2</v>
      </c>
      <c r="EW20">
        <v>-1.6926904999999999E-2</v>
      </c>
      <c r="EX20">
        <v>-1.5560433E-2</v>
      </c>
      <c r="EY20">
        <v>-1.44999195E-2</v>
      </c>
      <c r="EZ20">
        <v>1.4717351E-2</v>
      </c>
      <c r="FA20">
        <v>-1.8325576999999999E-2</v>
      </c>
      <c r="FB20">
        <v>-5.5239684999999997E-2</v>
      </c>
      <c r="FC20">
        <v>-3.1280245999999998E-2</v>
      </c>
      <c r="FD20">
        <v>-8.1055000000000005E-4</v>
      </c>
      <c r="FE20">
        <v>2.3938224000000001E-2</v>
      </c>
      <c r="FF20">
        <v>4.7421473999999998E-2</v>
      </c>
      <c r="FG20">
        <v>1.6247652000000001E-2</v>
      </c>
      <c r="FH20">
        <v>-1.0179706E-2</v>
      </c>
      <c r="FI20">
        <v>-1.8162505999999998E-2</v>
      </c>
      <c r="FJ20">
        <v>4.5151710000000001E-3</v>
      </c>
      <c r="FK20">
        <v>-6.1350129999999999E-3</v>
      </c>
      <c r="FL20">
        <v>-3.411492E-2</v>
      </c>
      <c r="FM20">
        <v>1.5279422500000001E-2</v>
      </c>
      <c r="FN20">
        <v>1.9513256999999999E-2</v>
      </c>
      <c r="FO20">
        <v>6.2728999999999993E-2</v>
      </c>
      <c r="FP20">
        <v>3.7959868000000002E-3</v>
      </c>
      <c r="FQ20">
        <v>-8.3976599999999998E-2</v>
      </c>
      <c r="FR20">
        <v>-2.1373204999999999E-2</v>
      </c>
      <c r="FS20">
        <v>3.4335539999999998E-2</v>
      </c>
      <c r="FT20">
        <v>-3.5251445999999999E-2</v>
      </c>
      <c r="FU20">
        <v>3.4648302999999998E-2</v>
      </c>
      <c r="FV20">
        <v>5.9662116999999997E-3</v>
      </c>
      <c r="FW20">
        <v>-2.6929479999999999E-2</v>
      </c>
      <c r="FX20">
        <v>-8.4227290000000003E-3</v>
      </c>
      <c r="FY20">
        <v>4.8785802000000003E-2</v>
      </c>
      <c r="FZ20">
        <v>-3.1260766000000002E-2</v>
      </c>
      <c r="GA20">
        <v>-7.1896533000000004E-3</v>
      </c>
      <c r="GB20">
        <v>-5.2993707000000001E-2</v>
      </c>
      <c r="GC20">
        <v>7.0079035999999997E-2</v>
      </c>
      <c r="GD20">
        <v>9.2085669999999994E-2</v>
      </c>
      <c r="GE20">
        <v>2.9405994000000001E-2</v>
      </c>
      <c r="GF20">
        <v>2.3333164E-2</v>
      </c>
      <c r="GG20">
        <v>2.9761953000000001E-2</v>
      </c>
      <c r="GH20">
        <v>-1.6763859999999998E-2</v>
      </c>
      <c r="GI20">
        <v>-8.5932160000000007E-3</v>
      </c>
      <c r="GJ20">
        <v>-6.257807E-2</v>
      </c>
      <c r="GK20">
        <v>1.107753E-2</v>
      </c>
      <c r="GL20">
        <v>-4.8128826999999999E-3</v>
      </c>
      <c r="GM20">
        <v>-2.4596164E-2</v>
      </c>
      <c r="GN20">
        <v>-1.6756633E-2</v>
      </c>
      <c r="GO20">
        <v>1.8809920000000001E-2</v>
      </c>
      <c r="GP20">
        <v>4.7211980000000002E-3</v>
      </c>
      <c r="GQ20">
        <v>7.3540939999999999E-2</v>
      </c>
      <c r="GR20">
        <v>-4.5233410000000002E-2</v>
      </c>
      <c r="GS20">
        <v>3.7150280000000001E-2</v>
      </c>
      <c r="GT20">
        <v>-6.0874815000000002E-3</v>
      </c>
      <c r="GU20">
        <v>2.2492618000000001E-3</v>
      </c>
      <c r="GV20">
        <v>2.4150310000000002E-3</v>
      </c>
      <c r="GW20">
        <v>3.6863079999999999E-2</v>
      </c>
      <c r="GX20">
        <v>-8.825266E-3</v>
      </c>
      <c r="GY20">
        <v>-2.4654270999999998E-2</v>
      </c>
      <c r="GZ20">
        <v>1.9229863E-2</v>
      </c>
      <c r="HA20">
        <v>1.7633049000000001E-2</v>
      </c>
      <c r="HB20">
        <v>-1.0324532000000001E-2</v>
      </c>
      <c r="HC20">
        <v>-3.4074817E-2</v>
      </c>
      <c r="HD20">
        <v>-9.4619040000000001E-3</v>
      </c>
      <c r="HE20">
        <v>2.0535178000000001E-2</v>
      </c>
      <c r="HF20">
        <v>-6.3690930000000002E-3</v>
      </c>
      <c r="HG20">
        <v>-3.07278E-2</v>
      </c>
      <c r="HH20">
        <v>-1.5319552E-2</v>
      </c>
      <c r="HI20">
        <v>9.1996730000000002E-3</v>
      </c>
      <c r="HJ20">
        <v>-1.6734474999999999E-2</v>
      </c>
      <c r="HK20">
        <v>-1.2912172E-2</v>
      </c>
      <c r="HL20">
        <v>-3.7465499999999999E-2</v>
      </c>
      <c r="HM20">
        <v>2.3633970000000001E-2</v>
      </c>
      <c r="HN20">
        <v>5.7234634E-2</v>
      </c>
      <c r="HO20">
        <v>-2.4387126000000002E-3</v>
      </c>
      <c r="HP20">
        <v>-2.462021E-2</v>
      </c>
      <c r="HQ20">
        <v>-1.4870082999999999E-2</v>
      </c>
      <c r="HR20">
        <v>-4.3308079999999999E-2</v>
      </c>
      <c r="HS20">
        <v>-5.2312504999999995E-4</v>
      </c>
      <c r="HT20">
        <v>-4.9792006999999999E-2</v>
      </c>
      <c r="HU20">
        <v>-6.1103816999999998E-2</v>
      </c>
      <c r="HV20">
        <v>-4.3111835000000001E-2</v>
      </c>
      <c r="HW20">
        <v>-2.2203851E-2</v>
      </c>
      <c r="HX20">
        <v>-1.2987756E-2</v>
      </c>
      <c r="HY20">
        <v>-2.9095478000000001E-2</v>
      </c>
      <c r="HZ20">
        <v>-5.9419088000000002E-2</v>
      </c>
      <c r="IA20">
        <v>3.7780130000000002E-2</v>
      </c>
      <c r="IB20">
        <v>-1.2760288999999999E-2</v>
      </c>
      <c r="IC20">
        <v>-2.8047886000000001E-2</v>
      </c>
      <c r="ID20">
        <v>-5.9238514000000001E-3</v>
      </c>
      <c r="IE20">
        <v>8.3257910000000008E-3</v>
      </c>
      <c r="IF20">
        <v>-9.7309855999999997E-4</v>
      </c>
      <c r="IG20">
        <v>1.1007362E-3</v>
      </c>
      <c r="IH20">
        <v>-1.2698086000000001E-2</v>
      </c>
      <c r="II20">
        <v>-1.0729084999999999E-2</v>
      </c>
      <c r="IJ20">
        <v>2.1393431000000001E-2</v>
      </c>
      <c r="IK20">
        <v>2.7745234000000001E-2</v>
      </c>
      <c r="IL20">
        <v>-1.9012757000000002E-2</v>
      </c>
      <c r="IM20">
        <v>-9.3736559999999997E-2</v>
      </c>
      <c r="IN20">
        <v>-2.6844284E-2</v>
      </c>
      <c r="IO20">
        <v>-1.0237591000000001E-2</v>
      </c>
      <c r="IP20">
        <v>1.0306829999999999E-2</v>
      </c>
      <c r="IQ20">
        <v>7.8809469999999993E-3</v>
      </c>
      <c r="IR20">
        <v>-2.5302049E-2</v>
      </c>
      <c r="IS20">
        <v>-7.0277257000000001E-3</v>
      </c>
      <c r="IT20">
        <v>3.641846E-2</v>
      </c>
      <c r="IU20">
        <v>1.7805544999999999E-2</v>
      </c>
      <c r="IV20">
        <v>4.9394169999999998E-3</v>
      </c>
      <c r="IW20">
        <v>6.7246589999999995E-2</v>
      </c>
      <c r="IX20">
        <v>-2.6067159999999999E-2</v>
      </c>
      <c r="IY20">
        <v>-2.4289016E-2</v>
      </c>
      <c r="IZ20">
        <v>8.2529720000000008E-3</v>
      </c>
      <c r="JA20">
        <v>5.7480376E-2</v>
      </c>
      <c r="JB20">
        <v>-1.276301E-2</v>
      </c>
      <c r="JC20">
        <v>4.8485150000000003E-3</v>
      </c>
      <c r="JD20">
        <v>-2.5373816E-2</v>
      </c>
      <c r="JE20">
        <v>6.6365644000000001E-2</v>
      </c>
      <c r="JF20">
        <v>-5.0931126E-2</v>
      </c>
      <c r="JG20">
        <v>1.6100614999999999E-2</v>
      </c>
      <c r="JH20">
        <v>-3.4441456000000002E-2</v>
      </c>
      <c r="JI20">
        <v>-5.8018460000000003E-3</v>
      </c>
      <c r="JJ20">
        <v>-3.3017860000000003E-2</v>
      </c>
      <c r="JK20">
        <v>1.5313972E-2</v>
      </c>
      <c r="JL20">
        <v>-4.7096368E-2</v>
      </c>
      <c r="JM20">
        <v>3.5833320000000002E-2</v>
      </c>
      <c r="JN20">
        <v>5.6170177000000002E-2</v>
      </c>
      <c r="JO20">
        <v>3.6546904999999998E-2</v>
      </c>
      <c r="JP20">
        <v>9.4384019999999999E-2</v>
      </c>
      <c r="JQ20">
        <v>-1.2757582999999999E-2</v>
      </c>
      <c r="JR20">
        <v>4.9165429999999998E-3</v>
      </c>
      <c r="JS20">
        <v>1.5211692000000001E-2</v>
      </c>
      <c r="JT20">
        <v>-2.3175223999999999E-3</v>
      </c>
      <c r="JU20">
        <v>1.8610088E-2</v>
      </c>
      <c r="JV20">
        <v>-4.468695E-3</v>
      </c>
      <c r="JW20">
        <v>-8.0661345000000006E-3</v>
      </c>
      <c r="JX20">
        <v>-1.2167084E-2</v>
      </c>
      <c r="JY20">
        <v>-1.552632E-2</v>
      </c>
      <c r="JZ20">
        <v>1.2772603E-2</v>
      </c>
      <c r="KA20">
        <v>8.2835229999999992E-3</v>
      </c>
      <c r="KB20">
        <v>5.1615804000000001E-2</v>
      </c>
      <c r="KC20">
        <v>2.4733543E-2</v>
      </c>
      <c r="KD20">
        <v>-1.9176981999999999E-2</v>
      </c>
      <c r="KE20">
        <v>-2.4454307E-3</v>
      </c>
      <c r="KF20">
        <v>2.5858770999999999E-2</v>
      </c>
      <c r="KG20">
        <v>6.1440723999999997E-3</v>
      </c>
      <c r="KH20">
        <v>1.1090476E-2</v>
      </c>
      <c r="KI20">
        <v>-2.3783342999999998E-2</v>
      </c>
      <c r="KJ20">
        <v>5.9829357999999999E-2</v>
      </c>
      <c r="KK20">
        <v>-3.5875940000000002E-2</v>
      </c>
      <c r="KL20">
        <v>1.4206573E-2</v>
      </c>
      <c r="KM20">
        <v>5.7500290000000003E-2</v>
      </c>
      <c r="KN20">
        <v>-5.9035079999999997E-2</v>
      </c>
      <c r="KO20">
        <v>3.9667510000000001E-3</v>
      </c>
      <c r="KP20">
        <v>-5.3159837000000001E-2</v>
      </c>
      <c r="KQ20">
        <v>-2.5055259999999999E-2</v>
      </c>
      <c r="KR20">
        <v>-3.0714096999999999E-2</v>
      </c>
      <c r="KS20">
        <v>3.8886227000000002E-2</v>
      </c>
      <c r="KT20">
        <v>1.5926084E-2</v>
      </c>
      <c r="KU20">
        <v>-3.3288665000000002E-2</v>
      </c>
      <c r="KV20">
        <v>4.4630403000000003E-3</v>
      </c>
      <c r="KW20">
        <v>5.6587406E-2</v>
      </c>
      <c r="KX20">
        <v>1.6219463E-2</v>
      </c>
      <c r="KY20">
        <v>9.4762650000000004E-2</v>
      </c>
      <c r="KZ20">
        <v>9.8372200000000007E-3</v>
      </c>
      <c r="LA20">
        <v>-4.1914284000000003E-2</v>
      </c>
      <c r="LB20">
        <v>2.2044372E-2</v>
      </c>
      <c r="LC20">
        <v>2.3771849000000001E-2</v>
      </c>
      <c r="LD20">
        <v>-3.9205547E-2</v>
      </c>
      <c r="LE20">
        <v>-1.9541465000000001E-2</v>
      </c>
      <c r="LF20">
        <v>5.0075769999999999E-2</v>
      </c>
      <c r="LG20">
        <v>1.9995227000000001E-2</v>
      </c>
      <c r="LH20">
        <v>3.0965902E-2</v>
      </c>
      <c r="LI20">
        <v>6.5251630000000001E-4</v>
      </c>
      <c r="LJ20">
        <v>-6.3519240000000001E-3</v>
      </c>
      <c r="LK20">
        <v>3.6841276999999999E-2</v>
      </c>
      <c r="LL20">
        <v>-4.4749825999999999E-2</v>
      </c>
      <c r="LM20">
        <v>-3.8084420000000001E-2</v>
      </c>
      <c r="LN20">
        <v>-2.2798195E-2</v>
      </c>
      <c r="LO20">
        <v>2.1952525000000001E-2</v>
      </c>
      <c r="LP20">
        <v>4.1515373000000001E-2</v>
      </c>
      <c r="LQ20">
        <v>-1.6539594000000001E-2</v>
      </c>
      <c r="LR20">
        <v>3.3061451999999998E-2</v>
      </c>
      <c r="LS20">
        <v>4.5627819999999999E-2</v>
      </c>
      <c r="LT20">
        <v>-2.2841627E-2</v>
      </c>
      <c r="LU20">
        <v>-4.3426850000000003E-2</v>
      </c>
      <c r="LV20">
        <v>-2.5942571000000001E-2</v>
      </c>
      <c r="LW20">
        <v>2.4240787999999999E-2</v>
      </c>
      <c r="LX20">
        <v>-7.2222545999999999E-2</v>
      </c>
      <c r="LY20">
        <v>3.0335182999999999E-3</v>
      </c>
      <c r="LZ20">
        <v>-3.2643154E-3</v>
      </c>
      <c r="MA20">
        <v>-1.9317342000000001E-2</v>
      </c>
      <c r="MB20">
        <v>-2.0234175E-2</v>
      </c>
      <c r="MC20">
        <v>1.5361095999999999E-2</v>
      </c>
      <c r="MD20">
        <v>7.2936340000000002E-2</v>
      </c>
      <c r="ME20">
        <v>-7.2631123000000005E-4</v>
      </c>
      <c r="MF20">
        <v>2.8039059000000002E-2</v>
      </c>
      <c r="MG20">
        <v>6.0775111999999999E-3</v>
      </c>
      <c r="MH20">
        <v>-3.3358827000000001E-2</v>
      </c>
      <c r="MI20">
        <v>4.5049875E-3</v>
      </c>
      <c r="MJ20">
        <v>2.7559327000000002E-2</v>
      </c>
      <c r="MK20">
        <v>-2.3104488999999999E-2</v>
      </c>
      <c r="ML20">
        <v>-2.6389000999999999E-2</v>
      </c>
      <c r="MM20">
        <v>-3.4735759999999999E-3</v>
      </c>
      <c r="MN20">
        <v>2.9791946E-2</v>
      </c>
      <c r="MO20">
        <v>6.8324967000000002E-3</v>
      </c>
      <c r="MP20">
        <v>-2.0204534999999999E-2</v>
      </c>
      <c r="MQ20">
        <v>2.8314892000000001E-2</v>
      </c>
      <c r="MR20">
        <v>2.2644679999999999E-3</v>
      </c>
      <c r="MS20">
        <v>3.5782274000000003E-2</v>
      </c>
      <c r="MT20">
        <v>-3.0180505E-2</v>
      </c>
      <c r="MU20">
        <v>-1.1535289000000001E-2</v>
      </c>
      <c r="MV20">
        <v>5.3334451999999997E-2</v>
      </c>
      <c r="MW20">
        <v>5.2724649999999996E-3</v>
      </c>
      <c r="MX20">
        <v>1.1661641E-2</v>
      </c>
      <c r="MY20">
        <v>2.5566319000000001E-2</v>
      </c>
      <c r="MZ20">
        <v>3.1907678000000002E-2</v>
      </c>
      <c r="NA20">
        <v>-1.8994819E-3</v>
      </c>
      <c r="NB20">
        <v>-1.9273617999999999E-2</v>
      </c>
      <c r="NC20">
        <v>-1.6758036E-2</v>
      </c>
      <c r="ND20">
        <v>2.6062150999999999E-2</v>
      </c>
      <c r="NE20">
        <v>3.3770706999999997E-2</v>
      </c>
      <c r="NF20">
        <v>-1.7349908999999999E-3</v>
      </c>
      <c r="NG20">
        <v>2.2448352000000001E-2</v>
      </c>
      <c r="NH20">
        <v>6.5570324999999997E-3</v>
      </c>
      <c r="NI20">
        <v>2.7489392000000001E-2</v>
      </c>
      <c r="NJ20">
        <v>-4.3805139999999999E-2</v>
      </c>
      <c r="NK20">
        <v>-3.8605662999999998E-3</v>
      </c>
      <c r="NL20">
        <v>5.7642227000000001E-3</v>
      </c>
      <c r="NM20">
        <v>5.1510809999999997E-2</v>
      </c>
      <c r="NN20">
        <v>-2.6810170000000001E-2</v>
      </c>
      <c r="NO20">
        <v>-1.9915761000000001E-2</v>
      </c>
      <c r="NP20">
        <v>-5.6023860000000002E-2</v>
      </c>
      <c r="NQ20">
        <v>-1.2451438E-2</v>
      </c>
      <c r="NR20">
        <v>6.7482083999999998E-2</v>
      </c>
      <c r="NS20">
        <v>3.4026515E-2</v>
      </c>
      <c r="NT20">
        <v>-3.2271326000000003E-2</v>
      </c>
      <c r="NU20">
        <v>3.9855334999999999E-2</v>
      </c>
      <c r="NV20">
        <v>5.2391290000000004E-3</v>
      </c>
      <c r="NW20">
        <v>3.8971635999999997E-2</v>
      </c>
      <c r="NX20">
        <v>-6.9955755000000001E-3</v>
      </c>
      <c r="NY20">
        <v>1.9593780000000002E-2</v>
      </c>
      <c r="NZ20">
        <v>-6.8809930000000005E-2</v>
      </c>
      <c r="OA20">
        <v>1.4842786E-2</v>
      </c>
      <c r="OB20">
        <v>-1.8306251999999999E-2</v>
      </c>
      <c r="OC20">
        <v>-1.8118063E-2</v>
      </c>
      <c r="OD20">
        <v>-8.2302379999999994E-2</v>
      </c>
      <c r="OE20">
        <v>8.7865270000000006E-3</v>
      </c>
      <c r="OF20">
        <v>5.9781029999999999E-2</v>
      </c>
      <c r="OG20">
        <v>1.3682893999999999E-2</v>
      </c>
      <c r="OH20">
        <v>-1.7008295E-2</v>
      </c>
      <c r="OI20">
        <v>4.8750855000000003E-2</v>
      </c>
      <c r="OJ20">
        <v>-2.066687E-2</v>
      </c>
      <c r="OK20">
        <v>4.7445934000000002E-2</v>
      </c>
      <c r="OL20">
        <v>4.5627165999999997E-2</v>
      </c>
      <c r="OM20">
        <v>-1.2119167E-2</v>
      </c>
      <c r="ON20">
        <v>-3.8644996000000001E-2</v>
      </c>
      <c r="OO20">
        <v>1.7986572E-4</v>
      </c>
      <c r="OP20">
        <v>-1.7549153000000001E-2</v>
      </c>
      <c r="OQ20">
        <v>-2.9076712000000001E-2</v>
      </c>
      <c r="OR20">
        <v>2.6478366999999999E-2</v>
      </c>
      <c r="OS20">
        <v>-4.0763467999999997E-2</v>
      </c>
      <c r="OT20">
        <v>-5.2545935000000002E-2</v>
      </c>
      <c r="OU20">
        <v>1.4497782000000001E-2</v>
      </c>
      <c r="OV20">
        <v>-4.0153965E-2</v>
      </c>
      <c r="OW20">
        <v>9.6282610000000008E-3</v>
      </c>
      <c r="OX20">
        <v>4.8055592999999999E-4</v>
      </c>
      <c r="OY20">
        <v>1.2861872999999999E-2</v>
      </c>
      <c r="OZ20">
        <v>-3.5610106000000002E-2</v>
      </c>
      <c r="PA20">
        <v>4.1107614000000001E-2</v>
      </c>
      <c r="PB20">
        <v>1.1348218000000001E-3</v>
      </c>
      <c r="PC20">
        <v>7.6272789999999993E-2</v>
      </c>
      <c r="PD20">
        <v>-3.0282666999999999E-2</v>
      </c>
      <c r="PE20">
        <v>5.1416702999999998E-3</v>
      </c>
      <c r="PF20">
        <v>-1.1648504E-2</v>
      </c>
      <c r="PG20">
        <v>4.2542103000000001E-3</v>
      </c>
      <c r="PH20">
        <v>1.2785282E-2</v>
      </c>
      <c r="PI20">
        <v>2.5243523999999998E-3</v>
      </c>
      <c r="PJ20">
        <v>1.4690915000000001E-2</v>
      </c>
      <c r="PK20">
        <v>4.3960612000000003E-2</v>
      </c>
      <c r="PL20">
        <v>4.6174973000000001E-2</v>
      </c>
      <c r="PM20">
        <v>-1.9544143E-2</v>
      </c>
      <c r="PN20">
        <v>2.5927853000000001E-2</v>
      </c>
      <c r="PO20">
        <v>3.1217622E-2</v>
      </c>
      <c r="PP20">
        <v>-4.8795138000000002E-2</v>
      </c>
      <c r="PQ20">
        <v>6.6444249999999996E-2</v>
      </c>
      <c r="PR20">
        <v>7.1816644999999997E-3</v>
      </c>
      <c r="PS20">
        <v>5.1613864000000002E-2</v>
      </c>
      <c r="PT20">
        <v>2.2918351E-2</v>
      </c>
      <c r="PU20">
        <v>-5.0339639999999998E-2</v>
      </c>
      <c r="PV20">
        <v>2.1152427000000001E-2</v>
      </c>
      <c r="PW20">
        <v>1.545074E-3</v>
      </c>
      <c r="PX20">
        <v>6.7722593999999998E-4</v>
      </c>
      <c r="PY20">
        <v>-4.0181775000000003E-2</v>
      </c>
      <c r="PZ20">
        <v>3.9101493000000001E-2</v>
      </c>
      <c r="QA20">
        <v>3.7989518999999999E-3</v>
      </c>
      <c r="QB20">
        <v>-3.9096883999999998E-2</v>
      </c>
      <c r="QC20">
        <v>-1.3605981E-2</v>
      </c>
      <c r="QD20">
        <v>-1.1572716E-2</v>
      </c>
      <c r="QE20">
        <v>2.8550513E-2</v>
      </c>
      <c r="QF20">
        <v>0.13954881999999999</v>
      </c>
      <c r="QG20">
        <v>4.0011756000000002E-2</v>
      </c>
      <c r="QH20">
        <v>-1.6222103000000002E-2</v>
      </c>
      <c r="QI20">
        <v>-5.3141963E-2</v>
      </c>
      <c r="QJ20">
        <v>9.0336819999999995E-3</v>
      </c>
      <c r="QK20">
        <v>6.2312655999999999E-3</v>
      </c>
      <c r="QL20">
        <v>-2.6957040000000002E-2</v>
      </c>
      <c r="QM20">
        <v>-2.3603229999999999E-2</v>
      </c>
      <c r="QN20">
        <v>1.0816917000000001E-2</v>
      </c>
      <c r="QO20">
        <v>3.0059407E-2</v>
      </c>
      <c r="QP20">
        <v>-1.0540752000000001E-3</v>
      </c>
      <c r="QQ20">
        <v>7.5847940000000003E-2</v>
      </c>
      <c r="QR20">
        <v>-5.0982535000000002E-3</v>
      </c>
      <c r="QS20">
        <v>2.5142910000000001E-3</v>
      </c>
      <c r="QT20">
        <v>7.4694629999999998E-2</v>
      </c>
      <c r="QU20">
        <v>-9.0757830000000005E-3</v>
      </c>
      <c r="QV20">
        <v>-2.1382580000000002E-2</v>
      </c>
      <c r="QW20">
        <v>-5.8303066000000001E-2</v>
      </c>
      <c r="QX20">
        <v>-6.4277207000000003E-3</v>
      </c>
      <c r="QY20">
        <v>9.4262340000000003E-3</v>
      </c>
      <c r="QZ20">
        <v>6.6869813000000004E-3</v>
      </c>
      <c r="RA20">
        <v>4.6190889999999998E-2</v>
      </c>
      <c r="RB20">
        <v>-1.3097454999999999E-2</v>
      </c>
      <c r="RC20">
        <v>6.9086549999999997E-2</v>
      </c>
      <c r="RD20">
        <v>4.8931750000000003E-2</v>
      </c>
      <c r="RE20">
        <v>-4.5350317000000001E-2</v>
      </c>
      <c r="RF20">
        <v>2.9326881999999999E-2</v>
      </c>
      <c r="RG20">
        <v>5.9786033000000002E-2</v>
      </c>
      <c r="RH20">
        <v>-4.8827483999999997E-2</v>
      </c>
      <c r="RI20">
        <v>-3.5485546999999999E-2</v>
      </c>
      <c r="RJ20">
        <v>5.9407065000000002E-3</v>
      </c>
      <c r="RK20">
        <v>1.1705849000000001E-2</v>
      </c>
      <c r="RL20">
        <v>4.0131000000000003E-3</v>
      </c>
      <c r="RM20">
        <v>4.7191419999999998E-2</v>
      </c>
      <c r="RN20">
        <v>6.0778115000000001E-2</v>
      </c>
      <c r="RO20">
        <v>2.3230549999999999E-2</v>
      </c>
      <c r="RP20">
        <v>-2.0212416E-2</v>
      </c>
      <c r="RQ20">
        <v>-2.9953765E-2</v>
      </c>
      <c r="RR20">
        <v>-4.8607404999999999E-2</v>
      </c>
      <c r="RS20">
        <v>-1.7204437999999999E-3</v>
      </c>
      <c r="RT20">
        <v>1.2220804E-2</v>
      </c>
      <c r="RU20">
        <v>7.9000189999999998E-2</v>
      </c>
      <c r="RV20">
        <v>8.9061379999999992E-3</v>
      </c>
      <c r="RW20">
        <v>8.2305390000000003E-3</v>
      </c>
      <c r="RX20">
        <v>-2.4057657999999999E-2</v>
      </c>
      <c r="RY20">
        <v>2.121493E-2</v>
      </c>
      <c r="RZ20">
        <v>4.0214527E-2</v>
      </c>
      <c r="SA20">
        <v>-2.4822269000000001E-2</v>
      </c>
      <c r="SB20">
        <v>-4.2406845999999998E-2</v>
      </c>
      <c r="SC20">
        <v>-4.8584822999999999E-2</v>
      </c>
      <c r="SD20">
        <v>-1.19389E-3</v>
      </c>
      <c r="SE20">
        <v>-0.11595477</v>
      </c>
      <c r="SF20">
        <v>3.995949E-2</v>
      </c>
      <c r="SG20">
        <v>2.3546258E-2</v>
      </c>
      <c r="SH20">
        <v>-4.2565939999999997E-2</v>
      </c>
      <c r="SI20">
        <v>2.0728657000000001E-2</v>
      </c>
      <c r="SJ20">
        <v>2.5886247000000001E-2</v>
      </c>
      <c r="SK20">
        <v>-2.1718787E-2</v>
      </c>
      <c r="SL20">
        <v>2.3580298E-2</v>
      </c>
      <c r="SM20">
        <v>-4.1045114000000001E-2</v>
      </c>
      <c r="SN20">
        <v>-3.3457744999999997E-2</v>
      </c>
      <c r="SO20">
        <v>-1.4889746000000001E-3</v>
      </c>
      <c r="SP20">
        <v>-8.4304610000000002E-2</v>
      </c>
      <c r="SQ20">
        <v>5.2510932999999997E-3</v>
      </c>
      <c r="SR20">
        <v>1.5088189E-2</v>
      </c>
      <c r="SS20">
        <v>-3.6615092000000002E-2</v>
      </c>
      <c r="ST20">
        <v>-2.6453388000000002E-4</v>
      </c>
      <c r="SU20">
        <v>7.1896210000000002E-2</v>
      </c>
      <c r="SV20">
        <v>7.0052240000000002E-2</v>
      </c>
      <c r="SW20">
        <v>1.5110844E-2</v>
      </c>
      <c r="SX20">
        <v>-1.1184635E-2</v>
      </c>
      <c r="SY20">
        <v>-1.1341440499999999E-2</v>
      </c>
      <c r="SZ20">
        <v>7.7058366E-3</v>
      </c>
      <c r="TA20">
        <v>-5.8753396999999999E-2</v>
      </c>
      <c r="TB20">
        <v>7.2666004000000006E-2</v>
      </c>
      <c r="TC20">
        <v>2.104837E-2</v>
      </c>
      <c r="TD20">
        <v>1.7226964000000001E-2</v>
      </c>
      <c r="TE20">
        <v>2.1634305E-2</v>
      </c>
      <c r="TF20">
        <v>-7.7506720000000001E-2</v>
      </c>
      <c r="TG20">
        <v>-5.1223256000000002E-2</v>
      </c>
      <c r="TH20">
        <v>3.6670399999999999E-2</v>
      </c>
      <c r="TI20">
        <v>-3.359326E-2</v>
      </c>
      <c r="TJ20">
        <v>-8.6842593999999996E-4</v>
      </c>
      <c r="TK20">
        <v>4.1780512999999998E-2</v>
      </c>
      <c r="TL20">
        <v>-4.3948457000000003E-2</v>
      </c>
      <c r="TM20">
        <v>2.9451287999999999E-2</v>
      </c>
      <c r="TN20">
        <v>6.0286424999999998E-2</v>
      </c>
      <c r="TO20">
        <v>-4.193156E-2</v>
      </c>
      <c r="TP20">
        <v>-5.0430021999999998E-2</v>
      </c>
      <c r="TQ20">
        <v>3.5879236000000002E-2</v>
      </c>
      <c r="TR20">
        <v>-3.7390100000000003E-2</v>
      </c>
      <c r="TS20">
        <v>-1.7316603999999999E-2</v>
      </c>
      <c r="TT20">
        <v>5.1307592999999999E-2</v>
      </c>
      <c r="TU20">
        <v>2.7874533E-2</v>
      </c>
      <c r="TV20">
        <v>3.1261961999999997E-2</v>
      </c>
      <c r="TW20">
        <v>-3.7388909999999997E-2</v>
      </c>
      <c r="TX20">
        <v>-9.7013120000000001E-3</v>
      </c>
      <c r="TY20">
        <v>-3.0528156000000001E-2</v>
      </c>
      <c r="TZ20">
        <v>-4.5986100000000002E-2</v>
      </c>
      <c r="UA20">
        <v>1.2653599E-2</v>
      </c>
      <c r="UB20">
        <v>1.2247888E-2</v>
      </c>
      <c r="UC20">
        <v>-7.2169079999999997E-2</v>
      </c>
      <c r="UD20">
        <v>1.6059177999999999E-3</v>
      </c>
      <c r="UE20">
        <v>-2.8054345000000001E-2</v>
      </c>
      <c r="UF20">
        <v>2.362421E-2</v>
      </c>
      <c r="UG20">
        <v>5.8712373999999998E-2</v>
      </c>
      <c r="UH20">
        <v>-1.9181743000000001E-2</v>
      </c>
      <c r="UI20">
        <v>-6.5739433999999998E-3</v>
      </c>
      <c r="UJ20">
        <v>-2.1763913999999999E-3</v>
      </c>
      <c r="UK20">
        <v>4.2567639999999997E-2</v>
      </c>
      <c r="UL20">
        <v>-3.3543627999999999E-2</v>
      </c>
      <c r="UM20">
        <v>7.215689E-3</v>
      </c>
      <c r="UN20">
        <v>-3.4006450000000001E-2</v>
      </c>
      <c r="UO20">
        <v>3.7947099999999997E-2</v>
      </c>
      <c r="UP20">
        <v>-2.8119433999999999E-2</v>
      </c>
      <c r="UQ20">
        <v>7.6677090000000004E-4</v>
      </c>
      <c r="UR20">
        <v>7.042459E-3</v>
      </c>
      <c r="US20">
        <v>4.7866810000000003E-2</v>
      </c>
      <c r="UT20">
        <v>3.9519690000000003E-2</v>
      </c>
      <c r="UU20">
        <v>5.1880351999999998E-2</v>
      </c>
      <c r="UV20">
        <v>-2.0235807000000001E-2</v>
      </c>
      <c r="UW20">
        <v>-4.4411755999999997E-2</v>
      </c>
      <c r="UX20">
        <v>6.5124366000000001E-3</v>
      </c>
      <c r="UY20">
        <v>-7.3395800000000001E-3</v>
      </c>
      <c r="UZ20">
        <v>-2.2581787999999998E-2</v>
      </c>
      <c r="VA20">
        <v>2.6845095999999999E-2</v>
      </c>
      <c r="VB20">
        <v>-1.3192278999999999E-2</v>
      </c>
      <c r="VC20">
        <v>-1.26089975E-2</v>
      </c>
      <c r="VD20">
        <v>-1.9481680000000001E-2</v>
      </c>
      <c r="VE20">
        <v>-2.8859328E-2</v>
      </c>
      <c r="VF20">
        <v>-2.0064391000000001E-2</v>
      </c>
      <c r="VG20">
        <v>5.2135028E-2</v>
      </c>
      <c r="VH20">
        <v>-4.1698102000000001E-2</v>
      </c>
      <c r="VI20">
        <v>-4.9778982999999999E-2</v>
      </c>
      <c r="VJ20">
        <v>7.1453690000000004E-3</v>
      </c>
      <c r="VK20">
        <v>1.2413591999999999E-2</v>
      </c>
      <c r="VL20">
        <v>-5.8722857000000003E-2</v>
      </c>
      <c r="VM20">
        <v>4.4680524999999999E-2</v>
      </c>
      <c r="VN20">
        <v>8.5334085000000004E-2</v>
      </c>
      <c r="VO20">
        <v>3.5766460000000002E-3</v>
      </c>
      <c r="VP20">
        <v>-6.5002977000000002E-3</v>
      </c>
      <c r="VQ20">
        <v>-1.9501649999999999E-2</v>
      </c>
      <c r="VR20">
        <v>9.6641609999999992E-3</v>
      </c>
      <c r="VS20">
        <v>3.0672899E-2</v>
      </c>
      <c r="VT20">
        <v>-2.4333746999999999E-2</v>
      </c>
      <c r="VU20">
        <v>-8.9962879999999999E-3</v>
      </c>
      <c r="VV20">
        <v>2.3627889999999999E-2</v>
      </c>
      <c r="VW20">
        <v>4.9800705000000001E-2</v>
      </c>
      <c r="VX20">
        <v>3.4845274000000002E-2</v>
      </c>
      <c r="VY20">
        <v>-4.5899590000000002E-3</v>
      </c>
      <c r="VZ20">
        <v>3.7351086999999998E-2</v>
      </c>
      <c r="WA20">
        <v>-3.4920550000000002E-2</v>
      </c>
      <c r="WB20">
        <v>-2.2503558999999999E-2</v>
      </c>
      <c r="WC20">
        <v>-1.8275621999999998E-2</v>
      </c>
      <c r="WD20">
        <v>-1.9743009999999998E-2</v>
      </c>
      <c r="WE20">
        <v>-3.3808432999999999E-2</v>
      </c>
      <c r="WF20">
        <v>4.4331429999999996E-3</v>
      </c>
      <c r="WG20">
        <v>2.2207162999999999E-2</v>
      </c>
      <c r="WH20">
        <v>-3.6317059999999998E-2</v>
      </c>
      <c r="WI20">
        <v>4.479727E-2</v>
      </c>
      <c r="WJ20">
        <v>6.6759180000000003E-3</v>
      </c>
      <c r="WK20">
        <v>-3.9662233999999998E-3</v>
      </c>
      <c r="WL20">
        <v>7.666384E-3</v>
      </c>
      <c r="WM20">
        <v>-2.2897544999999998E-2</v>
      </c>
      <c r="WN20">
        <v>-3.1708569999999998E-2</v>
      </c>
      <c r="WO20">
        <v>1.8523358E-2</v>
      </c>
      <c r="WP20">
        <v>2.105661E-2</v>
      </c>
      <c r="WQ20">
        <v>6.9672570000000001E-3</v>
      </c>
      <c r="WR20">
        <v>2.2280174999999999E-2</v>
      </c>
      <c r="WS20">
        <v>7.6030693999999996E-2</v>
      </c>
      <c r="WT20">
        <v>6.7552319999999999E-3</v>
      </c>
      <c r="WU20">
        <v>6.7070340000000006E-2</v>
      </c>
      <c r="WV20">
        <v>-4.4630683999999997E-2</v>
      </c>
      <c r="WW20">
        <v>-2.3198770000000001E-4</v>
      </c>
      <c r="WX20">
        <v>-8.1847310000000006E-2</v>
      </c>
      <c r="WY20">
        <v>-3.925617E-2</v>
      </c>
      <c r="WZ20">
        <v>-5.8316609999999998E-2</v>
      </c>
      <c r="XA20">
        <v>3.2729250000000001E-2</v>
      </c>
      <c r="XB20">
        <v>-5.6194040000000001E-2</v>
      </c>
      <c r="XC20">
        <v>4.1078669999999998E-2</v>
      </c>
      <c r="XD20">
        <v>1.3947651E-2</v>
      </c>
      <c r="XE20">
        <v>-2.9111933E-2</v>
      </c>
      <c r="XF20">
        <v>-5.1764159999999997E-2</v>
      </c>
      <c r="XG20">
        <v>-2.5800943E-2</v>
      </c>
      <c r="XH20">
        <v>7.8062160000000005E-2</v>
      </c>
      <c r="XI20">
        <v>-2.5817870999999999E-2</v>
      </c>
      <c r="XJ20">
        <v>4.9724363000000001E-2</v>
      </c>
      <c r="XK20">
        <v>-3.6623474000000003E-2</v>
      </c>
      <c r="XL20">
        <v>-3.2124680000000003E-2</v>
      </c>
      <c r="XM20">
        <v>-3.8841527000000001E-2</v>
      </c>
      <c r="XN20">
        <v>7.7655286999999996E-3</v>
      </c>
      <c r="XO20">
        <v>1.6300815999999999E-2</v>
      </c>
      <c r="XP20">
        <v>7.6641664000000002E-3</v>
      </c>
      <c r="XQ20">
        <v>-2.1689683000000001E-2</v>
      </c>
      <c r="XR20">
        <v>-1.1680169000000001E-2</v>
      </c>
      <c r="XS20">
        <v>6.2814750000000003E-2</v>
      </c>
      <c r="XT20">
        <v>3.8471708999999999E-3</v>
      </c>
      <c r="XU20">
        <v>-5.4495784999999998E-2</v>
      </c>
      <c r="XV20">
        <v>2.3341226999999999E-2</v>
      </c>
      <c r="XW20">
        <v>-3.8578416999999997E-2</v>
      </c>
      <c r="XX20">
        <v>-4.1466795000000001E-2</v>
      </c>
      <c r="XY20">
        <v>7.3980905E-2</v>
      </c>
      <c r="XZ20">
        <v>6.1385219999999997E-2</v>
      </c>
      <c r="YA20">
        <v>4.2406414000000003E-2</v>
      </c>
      <c r="YB20">
        <v>3.1296015000000003E-2</v>
      </c>
      <c r="YC20">
        <v>6.7983399999999999E-3</v>
      </c>
      <c r="YD20">
        <v>7.9488210000000004E-2</v>
      </c>
      <c r="YE20">
        <v>3.6368996000000001E-2</v>
      </c>
      <c r="YF20">
        <v>-4.0550367000000004E-3</v>
      </c>
      <c r="YG20">
        <v>3.4719866E-3</v>
      </c>
      <c r="YH20">
        <v>-1.989051E-2</v>
      </c>
      <c r="YI20">
        <v>1.1644400000000001E-3</v>
      </c>
      <c r="YJ20">
        <v>3.1363311999999997E-2</v>
      </c>
      <c r="YK20">
        <v>-3.5467314999999999E-2</v>
      </c>
      <c r="YL20">
        <v>1.1881335999999999E-2</v>
      </c>
      <c r="YM20">
        <v>-2.5254494999999998E-2</v>
      </c>
      <c r="YN20">
        <v>1.9481140000000001E-2</v>
      </c>
      <c r="YO20">
        <v>-2.9739100000000001E-2</v>
      </c>
      <c r="YP20">
        <v>4.4372212000000001E-2</v>
      </c>
      <c r="YQ20">
        <v>1.8617867999999999E-2</v>
      </c>
      <c r="YR20">
        <v>-3.0814910000000001E-2</v>
      </c>
      <c r="YS20">
        <v>-1.7609544000000001E-2</v>
      </c>
      <c r="YT20">
        <v>3.6872439999999999E-2</v>
      </c>
      <c r="YU20">
        <v>-1.8216774000000002E-2</v>
      </c>
      <c r="YV20">
        <v>-7.5145654000000006E-2</v>
      </c>
      <c r="YW20">
        <v>4.741621E-2</v>
      </c>
      <c r="YX20">
        <v>3.2942012E-2</v>
      </c>
      <c r="YY20">
        <v>3.5423969999999999E-2</v>
      </c>
      <c r="YZ20">
        <v>-3.5266699999999998E-2</v>
      </c>
      <c r="ZA20">
        <v>-1.7758454999999999E-2</v>
      </c>
      <c r="ZB20">
        <v>1.9709473000000002E-2</v>
      </c>
      <c r="ZC20">
        <v>1.8330675000000001E-2</v>
      </c>
      <c r="ZD20">
        <v>1.9037073000000002E-2</v>
      </c>
      <c r="ZE20">
        <v>-1.899466E-2</v>
      </c>
      <c r="ZF20">
        <v>2.3370517E-2</v>
      </c>
      <c r="ZG20">
        <v>-3.4282713999999999E-2</v>
      </c>
      <c r="ZH20">
        <v>-4.0526394E-2</v>
      </c>
      <c r="ZI20">
        <v>4.5277110000000002E-2</v>
      </c>
      <c r="ZJ20">
        <v>1.85717E-2</v>
      </c>
      <c r="ZK20">
        <v>-1.3514839000000001E-2</v>
      </c>
      <c r="ZL20">
        <v>-3.7118209999999999E-2</v>
      </c>
      <c r="ZM20">
        <v>-1.6931014000000001E-2</v>
      </c>
      <c r="ZN20">
        <v>-3.6362417000000001E-2</v>
      </c>
      <c r="ZO20">
        <v>5.1609629999999997E-2</v>
      </c>
      <c r="ZP20">
        <v>-6.066477E-2</v>
      </c>
      <c r="ZQ20">
        <v>-6.6720489999999993E-2</v>
      </c>
      <c r="ZR20">
        <v>-0.10543849</v>
      </c>
      <c r="ZS20">
        <v>-3.5861182999999998E-2</v>
      </c>
      <c r="ZT20">
        <v>-6.0873392999999998E-2</v>
      </c>
      <c r="ZU20">
        <v>-2.4056890000000001E-2</v>
      </c>
      <c r="ZV20">
        <v>6.2304064999999999E-2</v>
      </c>
      <c r="ZW20">
        <v>-9.9332640000000007E-3</v>
      </c>
      <c r="ZX20">
        <v>2.6666677999999999E-2</v>
      </c>
      <c r="ZY20">
        <v>-6.7170560000000004E-2</v>
      </c>
      <c r="ZZ20">
        <v>1.5977692000000002E-2</v>
      </c>
      <c r="AAA20">
        <v>-7.0348210000000001E-3</v>
      </c>
      <c r="AAB20">
        <v>6.8966639999999996E-2</v>
      </c>
      <c r="AAC20">
        <v>5.2936933999999998E-2</v>
      </c>
      <c r="AAD20">
        <v>1.0106041E-2</v>
      </c>
      <c r="AAE20">
        <v>4.3926947000000001E-2</v>
      </c>
      <c r="AAF20">
        <v>-3.8295580999999999E-3</v>
      </c>
      <c r="AAG20">
        <v>-6.2588539999999998E-2</v>
      </c>
      <c r="AAH20">
        <v>-1.7609544000000001E-2</v>
      </c>
      <c r="AAI20">
        <v>-5.2078879999999999E-3</v>
      </c>
      <c r="AAJ20">
        <v>4.4056299999999998E-3</v>
      </c>
      <c r="AAK20">
        <v>-2.2498593E-3</v>
      </c>
      <c r="AAL20">
        <v>-1.4132207000000001E-2</v>
      </c>
      <c r="AAM20">
        <v>-3.9793253000000001E-2</v>
      </c>
      <c r="AAN20">
        <v>6.3002920000000004E-2</v>
      </c>
      <c r="AAO20">
        <v>-1.0085533000000001E-2</v>
      </c>
      <c r="AAP20">
        <v>3.1030900000000002E-3</v>
      </c>
      <c r="AAQ20">
        <v>-5.8135519999999996E-3</v>
      </c>
      <c r="AAR20">
        <v>-5.2032214999999998E-3</v>
      </c>
      <c r="AAS20">
        <v>-2.9206467000000001E-3</v>
      </c>
      <c r="AAT20">
        <v>2.9197293999999999E-2</v>
      </c>
      <c r="AAU20">
        <v>2.6736065999999999E-2</v>
      </c>
      <c r="AAV20">
        <v>1.9560995000000001E-2</v>
      </c>
      <c r="AAW20">
        <v>-5.0588906000000003E-2</v>
      </c>
      <c r="AAX20">
        <v>-1.9158137E-3</v>
      </c>
      <c r="AAY20">
        <v>-2.241077E-2</v>
      </c>
      <c r="AAZ20">
        <v>-1.3559171E-2</v>
      </c>
      <c r="ABA20">
        <v>-2.6181792999999998E-2</v>
      </c>
      <c r="ABB20">
        <v>-3.7591010000000001E-2</v>
      </c>
      <c r="ABC20">
        <v>3.8265170000000001E-2</v>
      </c>
      <c r="ABD20">
        <v>1.1059586E-2</v>
      </c>
      <c r="ABE20">
        <v>-1.2028425000000001E-2</v>
      </c>
      <c r="ABF20">
        <v>-2.0488886000000001E-2</v>
      </c>
      <c r="ABG20">
        <v>-7.4765079999999998E-2</v>
      </c>
      <c r="ABH20">
        <v>3.2172020000000003E-2</v>
      </c>
      <c r="ABI20">
        <v>-5.0176665999999998E-3</v>
      </c>
      <c r="ABJ20">
        <v>1.5500498999999999E-2</v>
      </c>
      <c r="ABK20">
        <v>1.1430416000000001E-2</v>
      </c>
      <c r="ABL20">
        <v>5.6297780000000002E-3</v>
      </c>
      <c r="ABM20">
        <v>-2.6270361999999998E-2</v>
      </c>
      <c r="ABN20">
        <v>-7.0522920000000003E-2</v>
      </c>
      <c r="ABO20">
        <v>-1.9333385000000002E-2</v>
      </c>
      <c r="ABP20">
        <v>-4.5814168000000002E-2</v>
      </c>
      <c r="ABQ20">
        <v>-1.4043768E-2</v>
      </c>
      <c r="ABR20">
        <v>6.8708754999999996E-2</v>
      </c>
      <c r="ABS20">
        <v>-2.6243621000000002E-2</v>
      </c>
      <c r="ABT20">
        <v>-2.3636987000000002E-2</v>
      </c>
      <c r="ABU20">
        <v>-3.8685676000000002E-2</v>
      </c>
      <c r="ABV20">
        <v>1.6399871999999999E-2</v>
      </c>
      <c r="ABW20">
        <v>-2.9018327999999999E-2</v>
      </c>
      <c r="ABX20">
        <v>-3.2450657000000001E-2</v>
      </c>
      <c r="ABY20">
        <v>-7.1898250000000004E-3</v>
      </c>
      <c r="ABZ20">
        <v>-4.7317600000000001E-2</v>
      </c>
      <c r="ACA20">
        <v>-7.5384154999999994E-2</v>
      </c>
      <c r="ACB20">
        <v>1.416398E-2</v>
      </c>
      <c r="ACC20">
        <v>1.7434265000000001E-2</v>
      </c>
      <c r="ACD20">
        <v>1.1244779999999999E-2</v>
      </c>
      <c r="ACE20">
        <v>4.3393840000000003E-2</v>
      </c>
      <c r="ACF20">
        <v>8.9200619999999994E-3</v>
      </c>
      <c r="ACG20">
        <v>1.9119944E-2</v>
      </c>
      <c r="ACH20">
        <v>1.5953180999999999E-3</v>
      </c>
      <c r="ACI20">
        <v>-5.6392424999999998E-3</v>
      </c>
      <c r="ACJ20">
        <v>-8.1633669999999995E-3</v>
      </c>
      <c r="ACK20">
        <v>4.0319655000000003E-2</v>
      </c>
      <c r="ACL20">
        <v>-3.9375722000000002E-2</v>
      </c>
      <c r="ACM20">
        <v>-2.056498E-2</v>
      </c>
      <c r="ACN20">
        <v>-8.1966183E-4</v>
      </c>
      <c r="ACO20">
        <v>-2.8057822999999999E-2</v>
      </c>
      <c r="ACP20">
        <v>-1.07316184E-4</v>
      </c>
    </row>
    <row r="21" spans="1:770" x14ac:dyDescent="0.5">
      <c r="B21">
        <v>1.2246247E-2</v>
      </c>
    </row>
    <row r="22" spans="1:770" x14ac:dyDescent="0.5">
      <c r="A22" s="16" t="s">
        <v>83</v>
      </c>
      <c r="B22">
        <v>-1.1281093000000001E-2</v>
      </c>
      <c r="C22" s="26" t="str" cm="1">
        <f t="array" ref="C22:C33">_xll.LLM_LIST_MODELS(LLM_Test_Data!B3,LLM_Test_Data!B7,LLM_Test_Data!B2)</f>
        <v>xploiter/pentester:latest</v>
      </c>
      <c r="G22" s="28" t="s">
        <v>84</v>
      </c>
      <c r="K22" s="19"/>
    </row>
    <row r="23" spans="1:770" x14ac:dyDescent="0.5">
      <c r="B23">
        <v>-4.4472337000000001E-2</v>
      </c>
      <c r="C23" s="27" t="str">
        <v>llama3.2:latest</v>
      </c>
    </row>
    <row r="24" spans="1:770" x14ac:dyDescent="0.5">
      <c r="B24">
        <v>-4.427333E-2</v>
      </c>
      <c r="C24" s="27" t="str">
        <v>deepseek-r1:8b</v>
      </c>
    </row>
    <row r="25" spans="1:770" x14ac:dyDescent="0.5">
      <c r="B25">
        <v>-3.5754013999999999E-3</v>
      </c>
      <c r="C25" s="27" t="str">
        <v>qwen3:8b</v>
      </c>
    </row>
    <row r="26" spans="1:770" x14ac:dyDescent="0.5">
      <c r="B26">
        <v>1.8536218E-2</v>
      </c>
      <c r="C26" s="27" t="str">
        <v>claude-coder-64k:latest</v>
      </c>
      <c r="D26" s="18"/>
      <c r="E26" s="18"/>
      <c r="F26" s="18"/>
      <c r="H26" s="18"/>
      <c r="I26" s="18"/>
      <c r="J26" s="18"/>
    </row>
    <row r="27" spans="1:770" x14ac:dyDescent="0.5">
      <c r="B27">
        <v>8.3915815000000005E-2</v>
      </c>
      <c r="C27" s="27" t="str">
        <v>rafw007/qwen35-claude-coder:4b</v>
      </c>
    </row>
    <row r="28" spans="1:770" x14ac:dyDescent="0.5">
      <c r="B28">
        <v>-3.6567163000000001E-3</v>
      </c>
      <c r="C28" s="27" t="str">
        <v>qwen2.5-coder:7b</v>
      </c>
    </row>
    <row r="29" spans="1:770" x14ac:dyDescent="0.5">
      <c r="B29">
        <v>5.4672140000000001E-2</v>
      </c>
      <c r="C29" s="27" t="str">
        <v>gemma4:latest</v>
      </c>
    </row>
    <row r="30" spans="1:770" x14ac:dyDescent="0.5">
      <c r="B30">
        <v>3.2192542999999997E-2</v>
      </c>
      <c r="C30" s="27" t="str">
        <v>artifish/llama3.2-uncensored:latest</v>
      </c>
    </row>
    <row r="31" spans="1:770" x14ac:dyDescent="0.5">
      <c r="B31">
        <v>-7.8202510000000003E-2</v>
      </c>
      <c r="C31" s="26" t="str">
        <v>nomic-embed-text:latest</v>
      </c>
      <c r="D31" s="18"/>
      <c r="E31" s="18"/>
      <c r="F31" s="18"/>
      <c r="H31" s="18"/>
      <c r="I31" s="18"/>
      <c r="J31" s="18"/>
    </row>
    <row r="32" spans="1:770" x14ac:dyDescent="0.5">
      <c r="B32">
        <v>-3.1722710000000001E-2</v>
      </c>
      <c r="C32" s="27" t="str">
        <v>llama3:8b</v>
      </c>
    </row>
    <row r="33" spans="1:11" x14ac:dyDescent="0.5">
      <c r="B33">
        <v>3.44576E-3</v>
      </c>
      <c r="C33" s="27" t="str">
        <v>qwen3-embedding:8b</v>
      </c>
    </row>
    <row r="34" spans="1:11" x14ac:dyDescent="0.5">
      <c r="B34">
        <v>6.9513030000000003E-2</v>
      </c>
    </row>
    <row r="35" spans="1:11" x14ac:dyDescent="0.5">
      <c r="B35">
        <v>-1.33056445E-2</v>
      </c>
    </row>
    <row r="36" spans="1:11" x14ac:dyDescent="0.5">
      <c r="A36" s="16" t="s">
        <v>85</v>
      </c>
      <c r="B36">
        <v>-5.5714510000000002E-2</v>
      </c>
      <c r="C36" s="26" t="str" cm="1">
        <f t="array" ref="C36">_xll.LLM_JSON_VALUE(LLM_Test_Data!B8,"choices[0].message.content")</f>
        <v>hello</v>
      </c>
      <c r="G36" s="28" t="s">
        <v>86</v>
      </c>
      <c r="K36" s="19" t="str">
        <f>IFERROR(IF(C36=G36,"PASS","FAIL"),"FAIL")</f>
        <v>PASS</v>
      </c>
    </row>
    <row r="37" spans="1:11" x14ac:dyDescent="0.5">
      <c r="B37">
        <v>-4.9285684000000003E-2</v>
      </c>
    </row>
    <row r="38" spans="1:11" x14ac:dyDescent="0.5">
      <c r="B38">
        <v>-1.235033E-2</v>
      </c>
    </row>
    <row r="39" spans="1:11" x14ac:dyDescent="0.5">
      <c r="B39">
        <v>6.524961E-2</v>
      </c>
    </row>
    <row r="40" spans="1:11" x14ac:dyDescent="0.5">
      <c r="B40">
        <v>5.4781684000000004E-3</v>
      </c>
    </row>
    <row r="41" spans="1:11" x14ac:dyDescent="0.5">
      <c r="B41">
        <v>2.8418032E-3</v>
      </c>
    </row>
    <row r="42" spans="1:11" x14ac:dyDescent="0.5">
      <c r="B42">
        <v>7.9253989999999996E-3</v>
      </c>
    </row>
    <row r="43" spans="1:11" x14ac:dyDescent="0.5">
      <c r="B43">
        <v>-6.4777080000000001E-2</v>
      </c>
    </row>
    <row r="44" spans="1:11" x14ac:dyDescent="0.5">
      <c r="B44">
        <v>1.4286325000000001E-2</v>
      </c>
    </row>
    <row r="45" spans="1:11" x14ac:dyDescent="0.5">
      <c r="B45">
        <v>-2.9795309999999998E-2</v>
      </c>
    </row>
    <row r="46" spans="1:11" x14ac:dyDescent="0.5">
      <c r="B46">
        <v>5.3936857999999997E-2</v>
      </c>
    </row>
    <row r="47" spans="1:11" x14ac:dyDescent="0.5">
      <c r="B47">
        <v>-1.7053729E-2</v>
      </c>
    </row>
    <row r="48" spans="1:11" x14ac:dyDescent="0.5">
      <c r="B48">
        <v>-3.8992527999999999E-2</v>
      </c>
    </row>
    <row r="49" spans="2:2" x14ac:dyDescent="0.5">
      <c r="B49">
        <v>-3.3273275999999997E-2</v>
      </c>
    </row>
    <row r="50" spans="2:2" x14ac:dyDescent="0.5">
      <c r="B50">
        <v>2.2583262999999999E-2</v>
      </c>
    </row>
    <row r="51" spans="2:2" x14ac:dyDescent="0.5">
      <c r="B51">
        <v>4.2763877999999998E-2</v>
      </c>
    </row>
    <row r="52" spans="2:2" x14ac:dyDescent="0.5">
      <c r="B52">
        <v>-1.6811756000000001E-2</v>
      </c>
    </row>
    <row r="53" spans="2:2" x14ac:dyDescent="0.5">
      <c r="B53">
        <v>7.9054030000000001E-3</v>
      </c>
    </row>
    <row r="54" spans="2:2" x14ac:dyDescent="0.5">
      <c r="B54">
        <v>-7.1135219999999997E-3</v>
      </c>
    </row>
    <row r="55" spans="2:2" x14ac:dyDescent="0.5">
      <c r="B55">
        <v>2.7029339999999999E-2</v>
      </c>
    </row>
    <row r="56" spans="2:2" x14ac:dyDescent="0.5">
      <c r="B56">
        <v>-1.9579511000000001E-2</v>
      </c>
    </row>
    <row r="57" spans="2:2" x14ac:dyDescent="0.5">
      <c r="B57">
        <v>2.0549004999999999E-2</v>
      </c>
    </row>
    <row r="58" spans="2:2" x14ac:dyDescent="0.5">
      <c r="B58">
        <v>-4.1473086999999999E-2</v>
      </c>
    </row>
    <row r="59" spans="2:2" x14ac:dyDescent="0.5">
      <c r="B59">
        <v>4.0701675999999999E-2</v>
      </c>
    </row>
    <row r="60" spans="2:2" x14ac:dyDescent="0.5">
      <c r="B60">
        <v>-2.0809422999999998E-3</v>
      </c>
    </row>
    <row r="61" spans="2:2" x14ac:dyDescent="0.5">
      <c r="B61">
        <v>3.7154226999999998E-2</v>
      </c>
    </row>
    <row r="62" spans="2:2" x14ac:dyDescent="0.5">
      <c r="B62">
        <v>9.7173680000000005E-3</v>
      </c>
    </row>
    <row r="63" spans="2:2" x14ac:dyDescent="0.5">
      <c r="B63">
        <v>1.3106083500000001E-2</v>
      </c>
    </row>
    <row r="64" spans="2:2" x14ac:dyDescent="0.5">
      <c r="B64">
        <v>-4.6399989999999997E-3</v>
      </c>
    </row>
    <row r="65" spans="2:2" x14ac:dyDescent="0.5">
      <c r="B65">
        <v>-7.0209129999999995E-2</v>
      </c>
    </row>
    <row r="66" spans="2:2" x14ac:dyDescent="0.5">
      <c r="B66">
        <v>6.024964E-2</v>
      </c>
    </row>
    <row r="67" spans="2:2" x14ac:dyDescent="0.5">
      <c r="B67">
        <v>3.6915115999999998E-2</v>
      </c>
    </row>
    <row r="68" spans="2:2" x14ac:dyDescent="0.5">
      <c r="B68">
        <v>-4.2324355000000003E-3</v>
      </c>
    </row>
    <row r="69" spans="2:2" x14ac:dyDescent="0.5">
      <c r="B69">
        <v>2.3371591000000001E-3</v>
      </c>
    </row>
    <row r="70" spans="2:2" x14ac:dyDescent="0.5">
      <c r="B70">
        <v>1.2793364E-2</v>
      </c>
    </row>
    <row r="71" spans="2:2" x14ac:dyDescent="0.5">
      <c r="B71">
        <v>8.3418099999999999E-3</v>
      </c>
    </row>
    <row r="72" spans="2:2" x14ac:dyDescent="0.5">
      <c r="B72">
        <v>-2.9526202000000001E-2</v>
      </c>
    </row>
    <row r="73" spans="2:2" x14ac:dyDescent="0.5">
      <c r="B73">
        <v>-2.6152588000000001E-2</v>
      </c>
    </row>
    <row r="74" spans="2:2" x14ac:dyDescent="0.5">
      <c r="B74">
        <v>6.5014749999999996E-3</v>
      </c>
    </row>
    <row r="75" spans="2:2" x14ac:dyDescent="0.5">
      <c r="B75">
        <v>8.6981020000000006E-2</v>
      </c>
    </row>
    <row r="76" spans="2:2" x14ac:dyDescent="0.5">
      <c r="B76">
        <v>3.2361735000000003E-2</v>
      </c>
    </row>
    <row r="77" spans="2:2" x14ac:dyDescent="0.5">
      <c r="B77">
        <v>-2.5111957000000001E-2</v>
      </c>
    </row>
    <row r="78" spans="2:2" x14ac:dyDescent="0.5">
      <c r="B78">
        <v>5.1888093000000003E-2</v>
      </c>
    </row>
    <row r="79" spans="2:2" x14ac:dyDescent="0.5">
      <c r="B79">
        <v>4.2926119999999998E-2</v>
      </c>
    </row>
    <row r="80" spans="2:2" x14ac:dyDescent="0.5">
      <c r="B80">
        <v>-3.1835172000000002E-2</v>
      </c>
    </row>
    <row r="81" spans="2:2" x14ac:dyDescent="0.5">
      <c r="B81">
        <v>2.1739276000000002E-3</v>
      </c>
    </row>
    <row r="82" spans="2:2" x14ac:dyDescent="0.5">
      <c r="B82">
        <v>6.8424600000000002E-2</v>
      </c>
    </row>
    <row r="83" spans="2:2" x14ac:dyDescent="0.5">
      <c r="B83">
        <v>-1.9577447000000001E-2</v>
      </c>
    </row>
    <row r="84" spans="2:2" x14ac:dyDescent="0.5">
      <c r="B84">
        <v>-1.5974275999999999E-2</v>
      </c>
    </row>
    <row r="85" spans="2:2" x14ac:dyDescent="0.5">
      <c r="B85">
        <v>5.7320096000000001E-2</v>
      </c>
    </row>
    <row r="86" spans="2:2" x14ac:dyDescent="0.5">
      <c r="B86">
        <v>2.3295074999999998E-2</v>
      </c>
    </row>
    <row r="87" spans="2:2" x14ac:dyDescent="0.5">
      <c r="B87">
        <v>2.8116608000000001E-2</v>
      </c>
    </row>
    <row r="88" spans="2:2" x14ac:dyDescent="0.5">
      <c r="B88">
        <v>1.3092896999999999E-2</v>
      </c>
    </row>
    <row r="89" spans="2:2" x14ac:dyDescent="0.5">
      <c r="B89">
        <v>-3.9705354999999998E-2</v>
      </c>
    </row>
    <row r="90" spans="2:2" x14ac:dyDescent="0.5">
      <c r="B90">
        <v>-4.1579820000000003E-2</v>
      </c>
    </row>
    <row r="91" spans="2:2" x14ac:dyDescent="0.5">
      <c r="B91">
        <v>-9.9509810000000007E-4</v>
      </c>
    </row>
    <row r="92" spans="2:2" x14ac:dyDescent="0.5">
      <c r="B92">
        <v>-4.506665E-2</v>
      </c>
    </row>
    <row r="93" spans="2:2" x14ac:dyDescent="0.5">
      <c r="B93">
        <v>-1.6606283999999999E-2</v>
      </c>
    </row>
    <row r="94" spans="2:2" x14ac:dyDescent="0.5">
      <c r="B94">
        <v>-1.6289596E-2</v>
      </c>
    </row>
    <row r="95" spans="2:2" x14ac:dyDescent="0.5">
      <c r="B95">
        <v>-1.3274025E-2</v>
      </c>
    </row>
    <row r="96" spans="2:2" x14ac:dyDescent="0.5">
      <c r="B96">
        <v>-1.9861312999999998E-2</v>
      </c>
    </row>
    <row r="97" spans="2:2" x14ac:dyDescent="0.5">
      <c r="B97">
        <v>7.2975280000000003E-2</v>
      </c>
    </row>
    <row r="98" spans="2:2" x14ac:dyDescent="0.5">
      <c r="B98">
        <v>-1.9451402E-2</v>
      </c>
    </row>
    <row r="99" spans="2:2" x14ac:dyDescent="0.5">
      <c r="B99">
        <v>7.0405040000000002E-2</v>
      </c>
    </row>
    <row r="100" spans="2:2" x14ac:dyDescent="0.5">
      <c r="B100">
        <v>-3.1288728000000002E-2</v>
      </c>
    </row>
    <row r="101" spans="2:2" x14ac:dyDescent="0.5">
      <c r="B101">
        <v>-7.8782560000000001E-2</v>
      </c>
    </row>
    <row r="102" spans="2:2" x14ac:dyDescent="0.5">
      <c r="B102">
        <v>-4.8678625000000003E-2</v>
      </c>
    </row>
    <row r="103" spans="2:2" x14ac:dyDescent="0.5">
      <c r="B103">
        <v>-1.6698523999999999E-2</v>
      </c>
    </row>
    <row r="104" spans="2:2" x14ac:dyDescent="0.5">
      <c r="B104">
        <v>4.2846367000000003E-2</v>
      </c>
    </row>
    <row r="105" spans="2:2" x14ac:dyDescent="0.5">
      <c r="B105">
        <v>-2.5288766000000001E-2</v>
      </c>
    </row>
    <row r="106" spans="2:2" x14ac:dyDescent="0.5">
      <c r="B106">
        <v>3.1208612E-2</v>
      </c>
    </row>
    <row r="107" spans="2:2" x14ac:dyDescent="0.5">
      <c r="B107">
        <v>1.4799344000000001E-2</v>
      </c>
    </row>
    <row r="108" spans="2:2" x14ac:dyDescent="0.5">
      <c r="B108">
        <v>4.8716660000000002E-3</v>
      </c>
    </row>
    <row r="109" spans="2:2" x14ac:dyDescent="0.5">
      <c r="B109">
        <v>-4.7924317000000001E-2</v>
      </c>
    </row>
    <row r="110" spans="2:2" x14ac:dyDescent="0.5">
      <c r="B110">
        <v>2.2996835E-2</v>
      </c>
    </row>
    <row r="111" spans="2:2" x14ac:dyDescent="0.5">
      <c r="B111">
        <v>2.2229055000000001E-2</v>
      </c>
    </row>
    <row r="112" spans="2:2" x14ac:dyDescent="0.5">
      <c r="B112">
        <v>-2.0513948000000001E-2</v>
      </c>
    </row>
    <row r="113" spans="2:2" x14ac:dyDescent="0.5">
      <c r="B113">
        <v>-3.5969026000000001E-2</v>
      </c>
    </row>
    <row r="114" spans="2:2" x14ac:dyDescent="0.5">
      <c r="B114">
        <v>-3.5594069999999998E-2</v>
      </c>
    </row>
    <row r="115" spans="2:2" x14ac:dyDescent="0.5">
      <c r="B115">
        <v>-2.0103795000000001E-2</v>
      </c>
    </row>
    <row r="116" spans="2:2" x14ac:dyDescent="0.5">
      <c r="B116">
        <v>-1.7829997E-2</v>
      </c>
    </row>
    <row r="117" spans="2:2" x14ac:dyDescent="0.5">
      <c r="B117">
        <v>2.9427282999999999E-2</v>
      </c>
    </row>
    <row r="118" spans="2:2" x14ac:dyDescent="0.5">
      <c r="B118">
        <v>-6.5941050000000003E-3</v>
      </c>
    </row>
    <row r="119" spans="2:2" x14ac:dyDescent="0.5">
      <c r="B119">
        <v>6.1885845000000002E-2</v>
      </c>
    </row>
    <row r="120" spans="2:2" x14ac:dyDescent="0.5">
      <c r="B120">
        <v>5.7113464000000001E-3</v>
      </c>
    </row>
    <row r="121" spans="2:2" x14ac:dyDescent="0.5">
      <c r="B121">
        <v>1.8427300000000001E-2</v>
      </c>
    </row>
    <row r="122" spans="2:2" x14ac:dyDescent="0.5">
      <c r="B122">
        <v>-1.750001E-2</v>
      </c>
    </row>
    <row r="123" spans="2:2" x14ac:dyDescent="0.5">
      <c r="B123">
        <v>-1.7391027999999999E-2</v>
      </c>
    </row>
    <row r="124" spans="2:2" x14ac:dyDescent="0.5">
      <c r="B124">
        <v>3.0349023999999999E-2</v>
      </c>
    </row>
    <row r="125" spans="2:2" x14ac:dyDescent="0.5">
      <c r="B125">
        <v>1.0685806000000001E-2</v>
      </c>
    </row>
    <row r="126" spans="2:2" x14ac:dyDescent="0.5">
      <c r="B126">
        <v>5.7034596999999999E-2</v>
      </c>
    </row>
    <row r="127" spans="2:2" x14ac:dyDescent="0.5">
      <c r="B127">
        <v>-2.9410780000000001E-2</v>
      </c>
    </row>
    <row r="128" spans="2:2" x14ac:dyDescent="0.5">
      <c r="B128">
        <v>1.4295145E-2</v>
      </c>
    </row>
    <row r="129" spans="2:2" x14ac:dyDescent="0.5">
      <c r="B129">
        <v>4.4862135999999997E-2</v>
      </c>
    </row>
    <row r="130" spans="2:2" x14ac:dyDescent="0.5">
      <c r="B130">
        <v>-4.5437887000000003E-2</v>
      </c>
    </row>
    <row r="131" spans="2:2" x14ac:dyDescent="0.5">
      <c r="B131">
        <v>6.741871E-3</v>
      </c>
    </row>
    <row r="132" spans="2:2" x14ac:dyDescent="0.5">
      <c r="B132">
        <v>-5.7524690000000003E-2</v>
      </c>
    </row>
    <row r="133" spans="2:2" x14ac:dyDescent="0.5">
      <c r="B133">
        <v>1.7379809999999999E-2</v>
      </c>
    </row>
    <row r="134" spans="2:2" x14ac:dyDescent="0.5">
      <c r="B134">
        <v>3.6300662999999997E-2</v>
      </c>
    </row>
    <row r="135" spans="2:2" x14ac:dyDescent="0.5">
      <c r="B135">
        <v>1.5997055999999999E-2</v>
      </c>
    </row>
    <row r="136" spans="2:2" x14ac:dyDescent="0.5">
      <c r="B136">
        <v>-3.622214E-2</v>
      </c>
    </row>
    <row r="137" spans="2:2" x14ac:dyDescent="0.5">
      <c r="B137">
        <v>4.9653200000000002E-2</v>
      </c>
    </row>
    <row r="138" spans="2:2" x14ac:dyDescent="0.5">
      <c r="B138">
        <v>6.9567580000000004E-2</v>
      </c>
    </row>
    <row r="139" spans="2:2" x14ac:dyDescent="0.5">
      <c r="B139">
        <v>2.8602089999999998E-3</v>
      </c>
    </row>
    <row r="140" spans="2:2" x14ac:dyDescent="0.5">
      <c r="B140">
        <v>5.0601064999999997E-3</v>
      </c>
    </row>
    <row r="141" spans="2:2" x14ac:dyDescent="0.5">
      <c r="B141">
        <v>-2.5108168E-2</v>
      </c>
    </row>
    <row r="142" spans="2:2" x14ac:dyDescent="0.5">
      <c r="B142">
        <v>4.3655767999999998E-2</v>
      </c>
    </row>
    <row r="143" spans="2:2" x14ac:dyDescent="0.5">
      <c r="B143">
        <v>2.7217702999999999E-2</v>
      </c>
    </row>
    <row r="144" spans="2:2" x14ac:dyDescent="0.5">
      <c r="B144">
        <v>-5.3741740000000003E-2</v>
      </c>
    </row>
    <row r="145" spans="2:2" x14ac:dyDescent="0.5">
      <c r="B145">
        <v>-1.6389793E-2</v>
      </c>
    </row>
    <row r="146" spans="2:2" x14ac:dyDescent="0.5">
      <c r="B146">
        <v>1.2337057E-2</v>
      </c>
    </row>
    <row r="147" spans="2:2" x14ac:dyDescent="0.5">
      <c r="B147">
        <v>-2.1843742999999999E-3</v>
      </c>
    </row>
    <row r="148" spans="2:2" x14ac:dyDescent="0.5">
      <c r="B148">
        <v>4.0667742E-2</v>
      </c>
    </row>
    <row r="149" spans="2:2" x14ac:dyDescent="0.5">
      <c r="B149">
        <v>4.4628486000000002E-2</v>
      </c>
    </row>
    <row r="150" spans="2:2" x14ac:dyDescent="0.5">
      <c r="B150">
        <v>1.5078472000000001E-2</v>
      </c>
    </row>
    <row r="151" spans="2:2" x14ac:dyDescent="0.5">
      <c r="B151">
        <v>1.7623232E-3</v>
      </c>
    </row>
    <row r="152" spans="2:2" x14ac:dyDescent="0.5">
      <c r="B152">
        <v>2.1173516E-2</v>
      </c>
    </row>
    <row r="153" spans="2:2" x14ac:dyDescent="0.5">
      <c r="B153">
        <v>-2.7552172999999999E-2</v>
      </c>
    </row>
    <row r="154" spans="2:2" x14ac:dyDescent="0.5">
      <c r="B154">
        <v>3.21339E-2</v>
      </c>
    </row>
    <row r="155" spans="2:2" x14ac:dyDescent="0.5">
      <c r="B155">
        <v>3.444038E-2</v>
      </c>
    </row>
    <row r="156" spans="2:2" x14ac:dyDescent="0.5">
      <c r="B156">
        <v>-1.3064509E-2</v>
      </c>
    </row>
    <row r="157" spans="2:2" x14ac:dyDescent="0.5">
      <c r="B157">
        <v>-1.4222871999999999E-2</v>
      </c>
    </row>
    <row r="158" spans="2:2" x14ac:dyDescent="0.5">
      <c r="B158">
        <v>8.6415329999999999E-3</v>
      </c>
    </row>
    <row r="159" spans="2:2" x14ac:dyDescent="0.5">
      <c r="B159">
        <v>3.4046356E-2</v>
      </c>
    </row>
    <row r="160" spans="2:2" x14ac:dyDescent="0.5">
      <c r="B160">
        <v>-2.4585220000000001E-2</v>
      </c>
    </row>
    <row r="161" spans="2:2" x14ac:dyDescent="0.5">
      <c r="B161">
        <v>-1.6047223999999999E-2</v>
      </c>
    </row>
    <row r="162" spans="2:2" x14ac:dyDescent="0.5">
      <c r="B162">
        <v>-1.8185489999999999E-2</v>
      </c>
    </row>
    <row r="163" spans="2:2" x14ac:dyDescent="0.5">
      <c r="B163">
        <v>-1.9124283999999998E-2</v>
      </c>
    </row>
    <row r="164" spans="2:2" x14ac:dyDescent="0.5">
      <c r="B164">
        <v>1.3821777E-2</v>
      </c>
    </row>
    <row r="165" spans="2:2" x14ac:dyDescent="0.5">
      <c r="B165">
        <v>4.0953152E-2</v>
      </c>
    </row>
    <row r="166" spans="2:2" x14ac:dyDescent="0.5">
      <c r="B166">
        <v>1.7530667E-2</v>
      </c>
    </row>
    <row r="167" spans="2:2" x14ac:dyDescent="0.5">
      <c r="B167">
        <v>-8.2459309999999997E-3</v>
      </c>
    </row>
    <row r="168" spans="2:2" x14ac:dyDescent="0.5">
      <c r="B168">
        <v>4.8831007000000003E-3</v>
      </c>
    </row>
    <row r="169" spans="2:2" x14ac:dyDescent="0.5">
      <c r="B169">
        <v>2.7678680000000001E-2</v>
      </c>
    </row>
    <row r="170" spans="2:2" x14ac:dyDescent="0.5">
      <c r="B170">
        <v>-6.4513589999999996E-2</v>
      </c>
    </row>
    <row r="171" spans="2:2" x14ac:dyDescent="0.5">
      <c r="B171">
        <v>-2.7335813E-2</v>
      </c>
    </row>
    <row r="172" spans="2:2" x14ac:dyDescent="0.5">
      <c r="B172">
        <v>-7.0580909999999998E-3</v>
      </c>
    </row>
    <row r="173" spans="2:2" x14ac:dyDescent="0.5">
      <c r="B173">
        <v>2.4949889999999999E-2</v>
      </c>
    </row>
    <row r="174" spans="2:2" x14ac:dyDescent="0.5">
      <c r="B174">
        <v>-2.8784412999999998E-2</v>
      </c>
    </row>
    <row r="175" spans="2:2" x14ac:dyDescent="0.5">
      <c r="B175">
        <v>3.7376035000000002E-2</v>
      </c>
    </row>
    <row r="176" spans="2:2" x14ac:dyDescent="0.5">
      <c r="B176">
        <v>-2.3408054999999998E-3</v>
      </c>
    </row>
    <row r="177" spans="2:2" x14ac:dyDescent="0.5">
      <c r="B177">
        <v>-1.6028681999999999E-2</v>
      </c>
    </row>
    <row r="178" spans="2:2" x14ac:dyDescent="0.5">
      <c r="B178">
        <v>5.1736780000000003E-2</v>
      </c>
    </row>
    <row r="179" spans="2:2" x14ac:dyDescent="0.5">
      <c r="B179">
        <v>4.0873102999999999E-3</v>
      </c>
    </row>
    <row r="180" spans="2:2" x14ac:dyDescent="0.5">
      <c r="B180">
        <v>-7.5303614000000005E-2</v>
      </c>
    </row>
    <row r="181" spans="2:2" x14ac:dyDescent="0.5">
      <c r="B181">
        <v>-1.0690309E-2</v>
      </c>
    </row>
    <row r="182" spans="2:2" x14ac:dyDescent="0.5">
      <c r="B182">
        <v>0.10071289999999999</v>
      </c>
    </row>
    <row r="183" spans="2:2" x14ac:dyDescent="0.5">
      <c r="B183">
        <v>5.2116144000000003E-2</v>
      </c>
    </row>
    <row r="184" spans="2:2" x14ac:dyDescent="0.5">
      <c r="B184">
        <v>9.8058729999999997E-2</v>
      </c>
    </row>
    <row r="185" spans="2:2" x14ac:dyDescent="0.5">
      <c r="B185">
        <v>-1.9924104000000002E-2</v>
      </c>
    </row>
    <row r="186" spans="2:2" x14ac:dyDescent="0.5">
      <c r="B186">
        <v>-5.9627550000000001E-2</v>
      </c>
    </row>
    <row r="187" spans="2:2" x14ac:dyDescent="0.5">
      <c r="B187">
        <v>6.5628294999999998E-3</v>
      </c>
    </row>
    <row r="188" spans="2:2" x14ac:dyDescent="0.5">
      <c r="B188">
        <v>-5.3670893999999997E-2</v>
      </c>
    </row>
    <row r="189" spans="2:2" x14ac:dyDescent="0.5">
      <c r="B189">
        <v>7.5342580000000003E-3</v>
      </c>
    </row>
    <row r="190" spans="2:2" x14ac:dyDescent="0.5">
      <c r="B190">
        <v>-8.5185190000000004E-3</v>
      </c>
    </row>
    <row r="191" spans="2:2" x14ac:dyDescent="0.5">
      <c r="B191">
        <v>2.3394892E-2</v>
      </c>
    </row>
    <row r="192" spans="2:2" x14ac:dyDescent="0.5">
      <c r="B192">
        <v>2.2139099999999998E-2</v>
      </c>
    </row>
    <row r="193" spans="2:2" x14ac:dyDescent="0.5">
      <c r="B193">
        <v>0.11097971</v>
      </c>
    </row>
    <row r="194" spans="2:2" x14ac:dyDescent="0.5">
      <c r="B194">
        <v>3.5789784000000002E-3</v>
      </c>
    </row>
    <row r="195" spans="2:2" x14ac:dyDescent="0.5">
      <c r="B195">
        <v>1.8831463999999999E-2</v>
      </c>
    </row>
    <row r="196" spans="2:2" x14ac:dyDescent="0.5">
      <c r="B196">
        <v>-3.0921965999999999E-2</v>
      </c>
    </row>
    <row r="197" spans="2:2" x14ac:dyDescent="0.5">
      <c r="B197">
        <v>1.6218957999999999E-2</v>
      </c>
    </row>
    <row r="198" spans="2:2" x14ac:dyDescent="0.5">
      <c r="B198">
        <v>-4.9203103000000003E-3</v>
      </c>
    </row>
    <row r="199" spans="2:2" x14ac:dyDescent="0.5">
      <c r="B199">
        <v>-1.5677265999999999E-2</v>
      </c>
    </row>
    <row r="200" spans="2:2" x14ac:dyDescent="0.5">
      <c r="B200">
        <v>-3.0007213000000001E-2</v>
      </c>
    </row>
    <row r="201" spans="2:2" x14ac:dyDescent="0.5">
      <c r="B201">
        <v>3.1346579999999999E-2</v>
      </c>
    </row>
    <row r="202" spans="2:2" x14ac:dyDescent="0.5">
      <c r="B202">
        <v>1.5248045E-2</v>
      </c>
    </row>
    <row r="203" spans="2:2" x14ac:dyDescent="0.5">
      <c r="B203">
        <v>-5.4001566000000001E-2</v>
      </c>
    </row>
    <row r="204" spans="2:2" x14ac:dyDescent="0.5">
      <c r="B204">
        <v>9.3523469999999998E-5</v>
      </c>
    </row>
    <row r="205" spans="2:2" x14ac:dyDescent="0.5">
      <c r="B205">
        <v>7.0628410000000003E-3</v>
      </c>
    </row>
    <row r="206" spans="2:2" x14ac:dyDescent="0.5">
      <c r="B206">
        <v>1.3091844E-2</v>
      </c>
    </row>
    <row r="207" spans="2:2" x14ac:dyDescent="0.5">
      <c r="B207">
        <v>-6.3594683999999999E-2</v>
      </c>
    </row>
    <row r="208" spans="2:2" x14ac:dyDescent="0.5">
      <c r="B208">
        <v>-2.996884E-2</v>
      </c>
    </row>
    <row r="209" spans="2:2" x14ac:dyDescent="0.5">
      <c r="B209">
        <v>1.2255533E-3</v>
      </c>
    </row>
    <row r="210" spans="2:2" x14ac:dyDescent="0.5">
      <c r="B210">
        <v>-3.6726076000000003E-2</v>
      </c>
    </row>
    <row r="211" spans="2:2" x14ac:dyDescent="0.5">
      <c r="B211">
        <v>1.8457258000000001E-2</v>
      </c>
    </row>
    <row r="212" spans="2:2" x14ac:dyDescent="0.5">
      <c r="B212">
        <v>-8.1344810000000007E-3</v>
      </c>
    </row>
    <row r="213" spans="2:2" x14ac:dyDescent="0.5">
      <c r="B213">
        <v>4.8964246999999997E-3</v>
      </c>
    </row>
    <row r="214" spans="2:2" x14ac:dyDescent="0.5">
      <c r="B214">
        <v>-5.8368567000000003E-2</v>
      </c>
    </row>
    <row r="215" spans="2:2" x14ac:dyDescent="0.5">
      <c r="B215">
        <v>-2.5679132E-2</v>
      </c>
    </row>
    <row r="216" spans="2:2" x14ac:dyDescent="0.5">
      <c r="B216">
        <v>-2.7380214999999999E-2</v>
      </c>
    </row>
    <row r="217" spans="2:2" x14ac:dyDescent="0.5">
      <c r="B217">
        <v>-9.8890320000000007E-3</v>
      </c>
    </row>
    <row r="218" spans="2:2" x14ac:dyDescent="0.5">
      <c r="B218">
        <v>6.6228807000000001E-3</v>
      </c>
    </row>
    <row r="219" spans="2:2" x14ac:dyDescent="0.5">
      <c r="B219">
        <v>-6.2938906000000003E-2</v>
      </c>
    </row>
    <row r="220" spans="2:2" x14ac:dyDescent="0.5">
      <c r="B220">
        <v>2.5726157999999999E-2</v>
      </c>
    </row>
    <row r="221" spans="2:2" x14ac:dyDescent="0.5">
      <c r="B221">
        <v>-8.4772010000000002E-3</v>
      </c>
    </row>
    <row r="222" spans="2:2" x14ac:dyDescent="0.5">
      <c r="B222">
        <v>2.8588835E-2</v>
      </c>
    </row>
    <row r="223" spans="2:2" x14ac:dyDescent="0.5">
      <c r="B223">
        <v>-8.3785519999999992E-3</v>
      </c>
    </row>
    <row r="224" spans="2:2" x14ac:dyDescent="0.5">
      <c r="B224">
        <v>-1.1847899E-2</v>
      </c>
    </row>
    <row r="225" spans="2:2" x14ac:dyDescent="0.5">
      <c r="B225">
        <v>2.198512E-2</v>
      </c>
    </row>
    <row r="226" spans="2:2" x14ac:dyDescent="0.5">
      <c r="B226">
        <v>6.9904420000000004E-3</v>
      </c>
    </row>
    <row r="227" spans="2:2" x14ac:dyDescent="0.5">
      <c r="B227">
        <v>-1.3057033500000001E-2</v>
      </c>
    </row>
    <row r="228" spans="2:2" x14ac:dyDescent="0.5">
      <c r="B228">
        <v>-3.1882130000000001E-3</v>
      </c>
    </row>
    <row r="229" spans="2:2" x14ac:dyDescent="0.5">
      <c r="B229">
        <v>1.5647563999999999E-2</v>
      </c>
    </row>
    <row r="230" spans="2:2" x14ac:dyDescent="0.5">
      <c r="B230">
        <v>-3.128922E-2</v>
      </c>
    </row>
    <row r="231" spans="2:2" x14ac:dyDescent="0.5">
      <c r="B231">
        <v>-2.5543913000000001E-2</v>
      </c>
    </row>
    <row r="232" spans="2:2" x14ac:dyDescent="0.5">
      <c r="B232">
        <v>-6.8271869999999998E-2</v>
      </c>
    </row>
    <row r="233" spans="2:2" x14ac:dyDescent="0.5">
      <c r="B233">
        <v>-1.7062095999999999E-2</v>
      </c>
    </row>
    <row r="234" spans="2:2" x14ac:dyDescent="0.5">
      <c r="B234">
        <v>4.6112045999999997E-2</v>
      </c>
    </row>
    <row r="235" spans="2:2" x14ac:dyDescent="0.5">
      <c r="B235">
        <v>1.8991833999999999E-2</v>
      </c>
    </row>
    <row r="236" spans="2:2" x14ac:dyDescent="0.5">
      <c r="B236">
        <v>3.1855772999999997E-2</v>
      </c>
    </row>
    <row r="237" spans="2:2" x14ac:dyDescent="0.5">
      <c r="B237">
        <v>7.0431833000000003E-3</v>
      </c>
    </row>
    <row r="238" spans="2:2" x14ac:dyDescent="0.5">
      <c r="B238">
        <v>-1.3111433E-2</v>
      </c>
    </row>
    <row r="239" spans="2:2" x14ac:dyDescent="0.5">
      <c r="B239">
        <v>4.5046210000000003E-2</v>
      </c>
    </row>
    <row r="240" spans="2:2" x14ac:dyDescent="0.5">
      <c r="B240">
        <v>-1.0812545E-2</v>
      </c>
    </row>
    <row r="241" spans="2:2" x14ac:dyDescent="0.5">
      <c r="B241">
        <v>-5.17945E-2</v>
      </c>
    </row>
    <row r="242" spans="2:2" x14ac:dyDescent="0.5">
      <c r="B242">
        <v>-2.3644887E-2</v>
      </c>
    </row>
    <row r="243" spans="2:2" x14ac:dyDescent="0.5">
      <c r="B243">
        <v>-1.4022583E-2</v>
      </c>
    </row>
    <row r="244" spans="2:2" x14ac:dyDescent="0.5">
      <c r="B244">
        <v>-9.5420850000000005E-3</v>
      </c>
    </row>
    <row r="245" spans="2:2" x14ac:dyDescent="0.5">
      <c r="B245">
        <v>-4.5308776000000002E-2</v>
      </c>
    </row>
    <row r="246" spans="2:2" x14ac:dyDescent="0.5">
      <c r="B246">
        <v>-5.9647650000000003E-2</v>
      </c>
    </row>
    <row r="247" spans="2:2" x14ac:dyDescent="0.5">
      <c r="B247">
        <v>2.3308031E-2</v>
      </c>
    </row>
    <row r="248" spans="2:2" x14ac:dyDescent="0.5">
      <c r="B248">
        <v>-1.4374865000000001E-2</v>
      </c>
    </row>
    <row r="249" spans="2:2" x14ac:dyDescent="0.5">
      <c r="B249">
        <v>-7.6193082999999997E-3</v>
      </c>
    </row>
    <row r="250" spans="2:2" x14ac:dyDescent="0.5">
      <c r="B250">
        <v>-4.5604510000000001E-2</v>
      </c>
    </row>
    <row r="251" spans="2:2" x14ac:dyDescent="0.5">
      <c r="B251">
        <v>-2.886267E-2</v>
      </c>
    </row>
    <row r="252" spans="2:2" x14ac:dyDescent="0.5">
      <c r="B252">
        <v>7.4483060000000004E-2</v>
      </c>
    </row>
    <row r="253" spans="2:2" x14ac:dyDescent="0.5">
      <c r="B253">
        <v>4.0734800000000002E-2</v>
      </c>
    </row>
    <row r="254" spans="2:2" x14ac:dyDescent="0.5">
      <c r="B254">
        <v>1.6299719000000001E-2</v>
      </c>
    </row>
    <row r="255" spans="2:2" x14ac:dyDescent="0.5">
      <c r="B255">
        <v>2.2501001E-2</v>
      </c>
    </row>
    <row r="256" spans="2:2" x14ac:dyDescent="0.5">
      <c r="B256">
        <v>-4.2374321E-4</v>
      </c>
    </row>
    <row r="257" spans="2:2" x14ac:dyDescent="0.5">
      <c r="B257">
        <v>-5.1993257000000001E-3</v>
      </c>
    </row>
    <row r="258" spans="2:2" x14ac:dyDescent="0.5">
      <c r="B258">
        <v>-4.2751077999999998E-2</v>
      </c>
    </row>
    <row r="259" spans="2:2" x14ac:dyDescent="0.5">
      <c r="B259">
        <v>-5.2544217999999997E-2</v>
      </c>
    </row>
    <row r="260" spans="2:2" x14ac:dyDescent="0.5">
      <c r="B260">
        <v>1.5777629000000001E-2</v>
      </c>
    </row>
    <row r="261" spans="2:2" x14ac:dyDescent="0.5">
      <c r="B261">
        <v>-2.8979475000000001E-2</v>
      </c>
    </row>
    <row r="262" spans="2:2" x14ac:dyDescent="0.5">
      <c r="B262">
        <v>-2.6767997000000002E-2</v>
      </c>
    </row>
    <row r="263" spans="2:2" x14ac:dyDescent="0.5">
      <c r="B263">
        <v>6.8229620000000005E-2</v>
      </c>
    </row>
    <row r="264" spans="2:2" x14ac:dyDescent="0.5">
      <c r="B264">
        <v>6.2027470000000001E-2</v>
      </c>
    </row>
    <row r="265" spans="2:2" x14ac:dyDescent="0.5">
      <c r="B265">
        <v>-7.5335773000000002E-3</v>
      </c>
    </row>
    <row r="266" spans="2:2" x14ac:dyDescent="0.5">
      <c r="B266">
        <v>-2.7071159999999999E-3</v>
      </c>
    </row>
    <row r="267" spans="2:2" x14ac:dyDescent="0.5">
      <c r="B267">
        <v>-7.6675440000000001E-3</v>
      </c>
    </row>
    <row r="268" spans="2:2" x14ac:dyDescent="0.5">
      <c r="B268">
        <v>8.9500510000000005E-2</v>
      </c>
    </row>
    <row r="269" spans="2:2" x14ac:dyDescent="0.5">
      <c r="B269">
        <v>2.0850870000000001E-2</v>
      </c>
    </row>
    <row r="270" spans="2:2" x14ac:dyDescent="0.5">
      <c r="B270">
        <v>-2.1799736E-2</v>
      </c>
    </row>
    <row r="271" spans="2:2" x14ac:dyDescent="0.5">
      <c r="B271">
        <v>-2.4504465999999999E-2</v>
      </c>
    </row>
    <row r="272" spans="2:2" x14ac:dyDescent="0.5">
      <c r="B272">
        <v>-4.1764206999999998E-2</v>
      </c>
    </row>
    <row r="273" spans="2:2" x14ac:dyDescent="0.5">
      <c r="B273">
        <v>3.0023016E-3</v>
      </c>
    </row>
    <row r="274" spans="2:2" x14ac:dyDescent="0.5">
      <c r="B274">
        <v>1.5546645E-2</v>
      </c>
    </row>
    <row r="275" spans="2:2" x14ac:dyDescent="0.5">
      <c r="B275">
        <v>3.0868962E-2</v>
      </c>
    </row>
    <row r="276" spans="2:2" x14ac:dyDescent="0.5">
      <c r="B276">
        <v>-2.3580139999999999E-2</v>
      </c>
    </row>
    <row r="277" spans="2:2" x14ac:dyDescent="0.5">
      <c r="B277">
        <v>7.0881899999999998E-2</v>
      </c>
    </row>
    <row r="278" spans="2:2" x14ac:dyDescent="0.5">
      <c r="B278">
        <v>-2.7310105000000001E-2</v>
      </c>
    </row>
    <row r="279" spans="2:2" x14ac:dyDescent="0.5">
      <c r="B279">
        <v>2.0161393999999998E-3</v>
      </c>
    </row>
    <row r="280" spans="2:2" x14ac:dyDescent="0.5">
      <c r="B280">
        <v>-4.6558384000000001E-2</v>
      </c>
    </row>
    <row r="281" spans="2:2" x14ac:dyDescent="0.5">
      <c r="B281">
        <v>1.3658050999999999E-2</v>
      </c>
    </row>
    <row r="282" spans="2:2" x14ac:dyDescent="0.5">
      <c r="B282">
        <v>3.1159249999999999E-2</v>
      </c>
    </row>
    <row r="283" spans="2:2" x14ac:dyDescent="0.5">
      <c r="B283">
        <v>-2.2545948999999999E-2</v>
      </c>
    </row>
    <row r="284" spans="2:2" x14ac:dyDescent="0.5">
      <c r="B284">
        <v>-2.8629572999999998E-2</v>
      </c>
    </row>
    <row r="285" spans="2:2" x14ac:dyDescent="0.5">
      <c r="B285">
        <v>2.8289866E-2</v>
      </c>
    </row>
    <row r="286" spans="2:2" x14ac:dyDescent="0.5">
      <c r="B286">
        <v>-3.3612403999999999E-2</v>
      </c>
    </row>
    <row r="287" spans="2:2" x14ac:dyDescent="0.5">
      <c r="B287">
        <v>-2.2006672000000001E-2</v>
      </c>
    </row>
    <row r="288" spans="2:2" x14ac:dyDescent="0.5">
      <c r="B288">
        <v>-3.6038467999999998E-3</v>
      </c>
    </row>
    <row r="289" spans="2:2" x14ac:dyDescent="0.5">
      <c r="B289">
        <v>-5.6351739999999997E-3</v>
      </c>
    </row>
    <row r="290" spans="2:2" x14ac:dyDescent="0.5">
      <c r="B290">
        <v>3.0516166999999999E-3</v>
      </c>
    </row>
    <row r="291" spans="2:2" x14ac:dyDescent="0.5">
      <c r="B291">
        <v>-1.1281352E-2</v>
      </c>
    </row>
    <row r="292" spans="2:2" x14ac:dyDescent="0.5">
      <c r="B292">
        <v>-1.4155881E-2</v>
      </c>
    </row>
    <row r="293" spans="2:2" x14ac:dyDescent="0.5">
      <c r="B293">
        <v>-1.5160807E-2</v>
      </c>
    </row>
    <row r="294" spans="2:2" x14ac:dyDescent="0.5">
      <c r="B294">
        <v>2.6652644999999999E-2</v>
      </c>
    </row>
    <row r="295" spans="2:2" x14ac:dyDescent="0.5">
      <c r="B295">
        <v>-1.2563232000000001E-2</v>
      </c>
    </row>
    <row r="296" spans="2:2" x14ac:dyDescent="0.5">
      <c r="B296">
        <v>-0.11609892500000001</v>
      </c>
    </row>
    <row r="297" spans="2:2" x14ac:dyDescent="0.5">
      <c r="B297">
        <v>-9.6471479999999995E-3</v>
      </c>
    </row>
    <row r="298" spans="2:2" x14ac:dyDescent="0.5">
      <c r="B298">
        <v>4.1047963999999999E-2</v>
      </c>
    </row>
    <row r="299" spans="2:2" x14ac:dyDescent="0.5">
      <c r="B299">
        <v>-4.7647130000000003E-2</v>
      </c>
    </row>
    <row r="300" spans="2:2" x14ac:dyDescent="0.5">
      <c r="B300">
        <v>7.2861129999999996E-2</v>
      </c>
    </row>
    <row r="301" spans="2:2" x14ac:dyDescent="0.5">
      <c r="B301">
        <v>5.6007861999999999E-2</v>
      </c>
    </row>
    <row r="302" spans="2:2" x14ac:dyDescent="0.5">
      <c r="B302">
        <v>1.0979500999999999E-2</v>
      </c>
    </row>
    <row r="303" spans="2:2" x14ac:dyDescent="0.5">
      <c r="B303">
        <v>6.7056212999999998E-3</v>
      </c>
    </row>
    <row r="304" spans="2:2" x14ac:dyDescent="0.5">
      <c r="B304">
        <v>-7.6350033999999997E-3</v>
      </c>
    </row>
    <row r="305" spans="2:2" x14ac:dyDescent="0.5">
      <c r="B305">
        <v>3.5703209999999999E-2</v>
      </c>
    </row>
    <row r="306" spans="2:2" x14ac:dyDescent="0.5">
      <c r="B306">
        <v>-5.6670634000000001E-3</v>
      </c>
    </row>
    <row r="307" spans="2:2" x14ac:dyDescent="0.5">
      <c r="B307">
        <v>-1.3444839E-2</v>
      </c>
    </row>
    <row r="308" spans="2:2" x14ac:dyDescent="0.5">
      <c r="B308">
        <v>7.2363564000000003E-3</v>
      </c>
    </row>
    <row r="309" spans="2:2" x14ac:dyDescent="0.5">
      <c r="B309">
        <v>6.5630063999999998E-3</v>
      </c>
    </row>
    <row r="310" spans="2:2" x14ac:dyDescent="0.5">
      <c r="B310">
        <v>-1.3653303E-2</v>
      </c>
    </row>
    <row r="311" spans="2:2" x14ac:dyDescent="0.5">
      <c r="B311">
        <v>0.12647607999999999</v>
      </c>
    </row>
    <row r="312" spans="2:2" x14ac:dyDescent="0.5">
      <c r="B312">
        <v>3.7403308000000003E-2</v>
      </c>
    </row>
    <row r="313" spans="2:2" x14ac:dyDescent="0.5">
      <c r="B313">
        <v>2.9882955999999999E-2</v>
      </c>
    </row>
    <row r="314" spans="2:2" x14ac:dyDescent="0.5">
      <c r="B314">
        <v>-2.4800392000000001E-2</v>
      </c>
    </row>
    <row r="315" spans="2:2" x14ac:dyDescent="0.5">
      <c r="B315">
        <v>1.9588679999999999E-3</v>
      </c>
    </row>
    <row r="316" spans="2:2" x14ac:dyDescent="0.5">
      <c r="B316">
        <v>1.9125823E-2</v>
      </c>
    </row>
    <row r="317" spans="2:2" x14ac:dyDescent="0.5">
      <c r="B317">
        <v>4.5679114999999999E-2</v>
      </c>
    </row>
    <row r="318" spans="2:2" x14ac:dyDescent="0.5">
      <c r="B318">
        <v>-2.6952090000000001E-3</v>
      </c>
    </row>
    <row r="319" spans="2:2" x14ac:dyDescent="0.5">
      <c r="B319">
        <v>1.7808148999999999E-2</v>
      </c>
    </row>
    <row r="320" spans="2:2" x14ac:dyDescent="0.5">
      <c r="B320">
        <v>2.4770131000000001E-2</v>
      </c>
    </row>
    <row r="321" spans="2:2" x14ac:dyDescent="0.5">
      <c r="B321">
        <v>4.3269437000000001E-2</v>
      </c>
    </row>
    <row r="322" spans="2:2" x14ac:dyDescent="0.5">
      <c r="B322">
        <v>-3.4456256999999997E-2</v>
      </c>
    </row>
    <row r="323" spans="2:2" x14ac:dyDescent="0.5">
      <c r="B323">
        <v>5.3061324999999999E-2</v>
      </c>
    </row>
    <row r="324" spans="2:2" x14ac:dyDescent="0.5">
      <c r="B324">
        <v>-1.5953347E-2</v>
      </c>
    </row>
    <row r="325" spans="2:2" x14ac:dyDescent="0.5">
      <c r="B325">
        <v>-3.6033682999999997E-2</v>
      </c>
    </row>
    <row r="326" spans="2:2" x14ac:dyDescent="0.5">
      <c r="B326">
        <v>-2.6682937000000002E-3</v>
      </c>
    </row>
    <row r="327" spans="2:2" x14ac:dyDescent="0.5">
      <c r="B327">
        <v>-1.5359106500000001E-2</v>
      </c>
    </row>
    <row r="328" spans="2:2" x14ac:dyDescent="0.5">
      <c r="B328">
        <v>7.0456825000000001E-2</v>
      </c>
    </row>
    <row r="329" spans="2:2" x14ac:dyDescent="0.5">
      <c r="B329">
        <v>-2.7140839E-2</v>
      </c>
    </row>
    <row r="330" spans="2:2" x14ac:dyDescent="0.5">
      <c r="B330">
        <v>2.9175049000000002E-2</v>
      </c>
    </row>
    <row r="331" spans="2:2" x14ac:dyDescent="0.5">
      <c r="B331">
        <v>4.6060379999999998E-2</v>
      </c>
    </row>
    <row r="332" spans="2:2" x14ac:dyDescent="0.5">
      <c r="B332">
        <v>1.745464E-2</v>
      </c>
    </row>
    <row r="333" spans="2:2" x14ac:dyDescent="0.5">
      <c r="B333">
        <v>5.5291596999999998E-2</v>
      </c>
    </row>
    <row r="334" spans="2:2" x14ac:dyDescent="0.5">
      <c r="B334">
        <v>-2.7729165E-2</v>
      </c>
    </row>
    <row r="335" spans="2:2" x14ac:dyDescent="0.5">
      <c r="B335">
        <v>1.4491540000000001E-2</v>
      </c>
    </row>
    <row r="336" spans="2:2" x14ac:dyDescent="0.5">
      <c r="B336">
        <v>-4.1748716999999998E-2</v>
      </c>
    </row>
    <row r="337" spans="2:2" x14ac:dyDescent="0.5">
      <c r="B337">
        <v>-1.3433647E-2</v>
      </c>
    </row>
    <row r="338" spans="2:2" x14ac:dyDescent="0.5">
      <c r="B338">
        <v>-5.2248604999999997E-2</v>
      </c>
    </row>
    <row r="339" spans="2:2" x14ac:dyDescent="0.5">
      <c r="B339">
        <v>-2.1039929999999998E-2</v>
      </c>
    </row>
    <row r="340" spans="2:2" x14ac:dyDescent="0.5">
      <c r="B340">
        <v>1.4543557999999999E-3</v>
      </c>
    </row>
    <row r="341" spans="2:2" x14ac:dyDescent="0.5">
      <c r="B341">
        <v>-2.4217749E-2</v>
      </c>
    </row>
    <row r="342" spans="2:2" x14ac:dyDescent="0.5">
      <c r="B342">
        <v>2.2178066999999999E-2</v>
      </c>
    </row>
    <row r="343" spans="2:2" x14ac:dyDescent="0.5">
      <c r="B343">
        <v>4.1056216E-2</v>
      </c>
    </row>
    <row r="344" spans="2:2" x14ac:dyDescent="0.5">
      <c r="B344">
        <v>-2.8232103000000001E-2</v>
      </c>
    </row>
    <row r="345" spans="2:2" x14ac:dyDescent="0.5">
      <c r="B345">
        <v>-2.1560557000000001E-2</v>
      </c>
    </row>
    <row r="346" spans="2:2" x14ac:dyDescent="0.5">
      <c r="B346">
        <v>3.5104003000000002E-2</v>
      </c>
    </row>
    <row r="347" spans="2:2" x14ac:dyDescent="0.5">
      <c r="B347">
        <v>6.0344151999999998E-2</v>
      </c>
    </row>
    <row r="348" spans="2:2" x14ac:dyDescent="0.5">
      <c r="B348">
        <v>5.5083446000000003E-3</v>
      </c>
    </row>
    <row r="349" spans="2:2" x14ac:dyDescent="0.5">
      <c r="B349">
        <v>2.6134562000000002E-3</v>
      </c>
    </row>
    <row r="350" spans="2:2" x14ac:dyDescent="0.5">
      <c r="B350">
        <v>2.9605623000000001E-2</v>
      </c>
    </row>
    <row r="351" spans="2:2" x14ac:dyDescent="0.5">
      <c r="B351">
        <v>2.1995417999999999E-2</v>
      </c>
    </row>
    <row r="352" spans="2:2" x14ac:dyDescent="0.5">
      <c r="B352">
        <v>-5.5757474000000001E-2</v>
      </c>
    </row>
    <row r="353" spans="2:2" x14ac:dyDescent="0.5">
      <c r="B353">
        <v>-3.3863289999999997E-2</v>
      </c>
    </row>
    <row r="354" spans="2:2" x14ac:dyDescent="0.5">
      <c r="B354">
        <v>7.532991E-2</v>
      </c>
    </row>
    <row r="355" spans="2:2" x14ac:dyDescent="0.5">
      <c r="B355">
        <v>2.8120567999999999E-2</v>
      </c>
    </row>
    <row r="356" spans="2:2" x14ac:dyDescent="0.5">
      <c r="B356">
        <v>-3.2250028E-2</v>
      </c>
    </row>
    <row r="357" spans="2:2" x14ac:dyDescent="0.5">
      <c r="B357">
        <v>1.0809292E-2</v>
      </c>
    </row>
    <row r="358" spans="2:2" x14ac:dyDescent="0.5">
      <c r="B358">
        <v>-4.0975734999999999E-2</v>
      </c>
    </row>
    <row r="359" spans="2:2" x14ac:dyDescent="0.5">
      <c r="B359">
        <v>2.2271184999999999E-3</v>
      </c>
    </row>
    <row r="360" spans="2:2" x14ac:dyDescent="0.5">
      <c r="B360">
        <v>-3.6988317999999999E-2</v>
      </c>
    </row>
    <row r="361" spans="2:2" x14ac:dyDescent="0.5">
      <c r="B361">
        <v>-3.4676656E-2</v>
      </c>
    </row>
    <row r="362" spans="2:2" x14ac:dyDescent="0.5">
      <c r="B362">
        <v>1.0804276999999999E-2</v>
      </c>
    </row>
    <row r="363" spans="2:2" x14ac:dyDescent="0.5">
      <c r="B363">
        <v>-1.9022194000000001E-3</v>
      </c>
    </row>
    <row r="364" spans="2:2" x14ac:dyDescent="0.5">
      <c r="B364">
        <v>-6.1412979999999999E-4</v>
      </c>
    </row>
    <row r="365" spans="2:2" x14ac:dyDescent="0.5">
      <c r="B365">
        <v>-4.8945950000000002E-2</v>
      </c>
    </row>
    <row r="366" spans="2:2" x14ac:dyDescent="0.5">
      <c r="B366">
        <v>-5.3057090000000001E-2</v>
      </c>
    </row>
    <row r="367" spans="2:2" x14ac:dyDescent="0.5">
      <c r="B367">
        <v>-2.2480560999999999E-4</v>
      </c>
    </row>
    <row r="368" spans="2:2" x14ac:dyDescent="0.5">
      <c r="B368">
        <v>3.2352209999999999E-3</v>
      </c>
    </row>
    <row r="369" spans="2:2" x14ac:dyDescent="0.5">
      <c r="B369">
        <v>1.6577158000000002E-2</v>
      </c>
    </row>
    <row r="370" spans="2:2" x14ac:dyDescent="0.5">
      <c r="B370">
        <v>-2.3038913000000001E-2</v>
      </c>
    </row>
    <row r="371" spans="2:2" x14ac:dyDescent="0.5">
      <c r="B371">
        <v>1.5992685999999999E-2</v>
      </c>
    </row>
    <row r="372" spans="2:2" x14ac:dyDescent="0.5">
      <c r="B372">
        <v>-9.1698490000000007E-3</v>
      </c>
    </row>
    <row r="373" spans="2:2" x14ac:dyDescent="0.5">
      <c r="B373">
        <v>5.4942463E-3</v>
      </c>
    </row>
    <row r="374" spans="2:2" x14ac:dyDescent="0.5">
      <c r="B374">
        <v>2.7394044999999999E-2</v>
      </c>
    </row>
    <row r="375" spans="2:2" x14ac:dyDescent="0.5">
      <c r="B375">
        <v>2.7680119999999999E-2</v>
      </c>
    </row>
    <row r="376" spans="2:2" x14ac:dyDescent="0.5">
      <c r="B376">
        <v>-2.059064E-2</v>
      </c>
    </row>
    <row r="377" spans="2:2" x14ac:dyDescent="0.5">
      <c r="B377">
        <v>-2.3715446000000001E-2</v>
      </c>
    </row>
    <row r="378" spans="2:2" x14ac:dyDescent="0.5">
      <c r="B378">
        <v>4.8081428000000002E-2</v>
      </c>
    </row>
    <row r="379" spans="2:2" x14ac:dyDescent="0.5">
      <c r="B379">
        <v>-3.0299142000000001E-2</v>
      </c>
    </row>
    <row r="380" spans="2:2" x14ac:dyDescent="0.5">
      <c r="B380">
        <v>3.6327668E-2</v>
      </c>
    </row>
    <row r="381" spans="2:2" x14ac:dyDescent="0.5">
      <c r="B381">
        <v>5.7858407000000001E-2</v>
      </c>
    </row>
    <row r="382" spans="2:2" x14ac:dyDescent="0.5">
      <c r="B382">
        <v>5.4128915E-2</v>
      </c>
    </row>
    <row r="383" spans="2:2" x14ac:dyDescent="0.5">
      <c r="B383">
        <v>6.996898E-2</v>
      </c>
    </row>
    <row r="384" spans="2:2" x14ac:dyDescent="0.5">
      <c r="B384">
        <v>1.5840099999999999E-2</v>
      </c>
    </row>
    <row r="385" spans="2:2" x14ac:dyDescent="0.5">
      <c r="B385">
        <v>3.1644373999999999E-4</v>
      </c>
    </row>
    <row r="386" spans="2:2" x14ac:dyDescent="0.5">
      <c r="B386">
        <v>-2.5932609999999998E-2</v>
      </c>
    </row>
    <row r="387" spans="2:2" x14ac:dyDescent="0.5">
      <c r="B387">
        <v>4.9969529999999998E-2</v>
      </c>
    </row>
    <row r="388" spans="2:2" x14ac:dyDescent="0.5">
      <c r="B388">
        <v>2.7115180999999999E-2</v>
      </c>
    </row>
    <row r="389" spans="2:2" x14ac:dyDescent="0.5">
      <c r="B389">
        <v>4.5357972000000003E-2</v>
      </c>
    </row>
    <row r="390" spans="2:2" x14ac:dyDescent="0.5">
      <c r="B390">
        <v>4.504114E-2</v>
      </c>
    </row>
    <row r="391" spans="2:2" x14ac:dyDescent="0.5">
      <c r="B391">
        <v>-9.7672720000000005E-2</v>
      </c>
    </row>
    <row r="392" spans="2:2" x14ac:dyDescent="0.5">
      <c r="B392">
        <v>-5.5023323999999998E-2</v>
      </c>
    </row>
    <row r="393" spans="2:2" x14ac:dyDescent="0.5">
      <c r="B393">
        <v>3.7506167E-2</v>
      </c>
    </row>
    <row r="394" spans="2:2" x14ac:dyDescent="0.5">
      <c r="B394">
        <v>5.7920649999999997E-2</v>
      </c>
    </row>
    <row r="395" spans="2:2" x14ac:dyDescent="0.5">
      <c r="B395">
        <v>7.1085504999999993E-2</v>
      </c>
    </row>
    <row r="396" spans="2:2" x14ac:dyDescent="0.5">
      <c r="B396">
        <v>4.7002933E-3</v>
      </c>
    </row>
    <row r="397" spans="2:2" x14ac:dyDescent="0.5">
      <c r="B397">
        <v>3.9934073E-2</v>
      </c>
    </row>
    <row r="398" spans="2:2" x14ac:dyDescent="0.5">
      <c r="B398">
        <v>-4.8232576999999999E-3</v>
      </c>
    </row>
    <row r="399" spans="2:2" x14ac:dyDescent="0.5">
      <c r="B399">
        <v>-5.3653214000000003E-3</v>
      </c>
    </row>
    <row r="400" spans="2:2" x14ac:dyDescent="0.5">
      <c r="B400">
        <v>-3.9851755000000003E-2</v>
      </c>
    </row>
    <row r="401" spans="2:2" x14ac:dyDescent="0.5">
      <c r="B401">
        <v>1.2333293E-2</v>
      </c>
    </row>
    <row r="402" spans="2:2" x14ac:dyDescent="0.5">
      <c r="B402">
        <v>2.1734025999999998E-3</v>
      </c>
    </row>
    <row r="403" spans="2:2" x14ac:dyDescent="0.5">
      <c r="B403">
        <v>-5.7683190000000001E-3</v>
      </c>
    </row>
    <row r="404" spans="2:2" x14ac:dyDescent="0.5">
      <c r="B404">
        <v>3.6968402999999997E-2</v>
      </c>
    </row>
    <row r="405" spans="2:2" x14ac:dyDescent="0.5">
      <c r="B405">
        <v>-4.1234229999999997E-2</v>
      </c>
    </row>
    <row r="406" spans="2:2" x14ac:dyDescent="0.5">
      <c r="B406">
        <v>-8.7138629999999995E-2</v>
      </c>
    </row>
    <row r="407" spans="2:2" x14ac:dyDescent="0.5">
      <c r="B407">
        <v>-4.0015719999999998E-2</v>
      </c>
    </row>
    <row r="408" spans="2:2" x14ac:dyDescent="0.5">
      <c r="B408">
        <v>2.1744177E-2</v>
      </c>
    </row>
    <row r="409" spans="2:2" x14ac:dyDescent="0.5">
      <c r="B409">
        <v>-1.7441933999999999E-2</v>
      </c>
    </row>
    <row r="410" spans="2:2" x14ac:dyDescent="0.5">
      <c r="B410">
        <v>-3.7534047000000001E-2</v>
      </c>
    </row>
    <row r="411" spans="2:2" x14ac:dyDescent="0.5">
      <c r="B411">
        <v>2.8503371E-2</v>
      </c>
    </row>
    <row r="412" spans="2:2" x14ac:dyDescent="0.5">
      <c r="B412">
        <v>6.5522079999999996E-2</v>
      </c>
    </row>
    <row r="413" spans="2:2" x14ac:dyDescent="0.5">
      <c r="B413">
        <v>-6.3022114000000004E-3</v>
      </c>
    </row>
    <row r="414" spans="2:2" x14ac:dyDescent="0.5">
      <c r="B414">
        <v>3.8900334000000002E-2</v>
      </c>
    </row>
    <row r="415" spans="2:2" x14ac:dyDescent="0.5">
      <c r="B415">
        <v>-3.1579304000000002E-2</v>
      </c>
    </row>
    <row r="416" spans="2:2" x14ac:dyDescent="0.5">
      <c r="B416">
        <v>-3.8774160000000002E-2</v>
      </c>
    </row>
    <row r="417" spans="2:2" x14ac:dyDescent="0.5">
      <c r="B417">
        <v>5.9475930000000002E-3</v>
      </c>
    </row>
    <row r="418" spans="2:2" x14ac:dyDescent="0.5">
      <c r="B418">
        <v>-2.6201345000000001E-2</v>
      </c>
    </row>
    <row r="419" spans="2:2" x14ac:dyDescent="0.5">
      <c r="B419">
        <v>-2.7031800000000002E-2</v>
      </c>
    </row>
    <row r="420" spans="2:2" x14ac:dyDescent="0.5">
      <c r="B420">
        <v>3.5783959999999997E-2</v>
      </c>
    </row>
    <row r="421" spans="2:2" x14ac:dyDescent="0.5">
      <c r="B421">
        <v>-2.3194460000000002E-3</v>
      </c>
    </row>
    <row r="422" spans="2:2" x14ac:dyDescent="0.5">
      <c r="B422">
        <v>-3.6013648000000002E-2</v>
      </c>
    </row>
    <row r="423" spans="2:2" x14ac:dyDescent="0.5">
      <c r="B423">
        <v>3.2910068000000001E-2</v>
      </c>
    </row>
    <row r="424" spans="2:2" x14ac:dyDescent="0.5">
      <c r="B424">
        <v>-1.2400154E-2</v>
      </c>
    </row>
    <row r="425" spans="2:2" x14ac:dyDescent="0.5">
      <c r="B425">
        <v>2.3353877E-4</v>
      </c>
    </row>
    <row r="426" spans="2:2" x14ac:dyDescent="0.5">
      <c r="B426">
        <v>4.5231703999999998E-2</v>
      </c>
    </row>
    <row r="427" spans="2:2" x14ac:dyDescent="0.5">
      <c r="B427">
        <v>-3.6269362999999999E-2</v>
      </c>
    </row>
    <row r="428" spans="2:2" x14ac:dyDescent="0.5">
      <c r="B428">
        <v>-6.203235E-2</v>
      </c>
    </row>
    <row r="429" spans="2:2" x14ac:dyDescent="0.5">
      <c r="B429">
        <v>-1.4717997E-2</v>
      </c>
    </row>
    <row r="430" spans="2:2" x14ac:dyDescent="0.5">
      <c r="B430">
        <v>1.2494738999999999E-2</v>
      </c>
    </row>
    <row r="431" spans="2:2" x14ac:dyDescent="0.5">
      <c r="B431">
        <v>2.6139900000000001E-2</v>
      </c>
    </row>
    <row r="432" spans="2:2" x14ac:dyDescent="0.5">
      <c r="B432">
        <v>-1.7964572000000002E-2</v>
      </c>
    </row>
    <row r="433" spans="2:2" x14ac:dyDescent="0.5">
      <c r="B433">
        <v>-7.7137322999999997E-3</v>
      </c>
    </row>
    <row r="434" spans="2:2" x14ac:dyDescent="0.5">
      <c r="B434">
        <v>2.9785013999999999E-3</v>
      </c>
    </row>
    <row r="435" spans="2:2" x14ac:dyDescent="0.5">
      <c r="B435">
        <v>1.9127293E-2</v>
      </c>
    </row>
    <row r="436" spans="2:2" x14ac:dyDescent="0.5">
      <c r="B436">
        <v>3.6296986000000003E-2</v>
      </c>
    </row>
    <row r="437" spans="2:2" x14ac:dyDescent="0.5">
      <c r="B437">
        <v>-3.3305080000000001E-2</v>
      </c>
    </row>
    <row r="438" spans="2:2" x14ac:dyDescent="0.5">
      <c r="B438">
        <v>-4.2348534E-2</v>
      </c>
    </row>
    <row r="439" spans="2:2" x14ac:dyDescent="0.5">
      <c r="B439">
        <v>-2.7206711000000001E-2</v>
      </c>
    </row>
    <row r="440" spans="2:2" x14ac:dyDescent="0.5">
      <c r="B440">
        <v>-1.7882973E-2</v>
      </c>
    </row>
    <row r="441" spans="2:2" x14ac:dyDescent="0.5">
      <c r="B441">
        <v>4.0522676000000001E-2</v>
      </c>
    </row>
    <row r="442" spans="2:2" x14ac:dyDescent="0.5">
      <c r="B442">
        <v>7.5462660000000003E-3</v>
      </c>
    </row>
    <row r="443" spans="2:2" x14ac:dyDescent="0.5">
      <c r="B443">
        <v>3.681893E-2</v>
      </c>
    </row>
    <row r="444" spans="2:2" x14ac:dyDescent="0.5">
      <c r="B444">
        <v>-4.0273780000000002E-2</v>
      </c>
    </row>
    <row r="445" spans="2:2" x14ac:dyDescent="0.5">
      <c r="B445">
        <v>-1.1745625000000001E-2</v>
      </c>
    </row>
    <row r="446" spans="2:2" x14ac:dyDescent="0.5">
      <c r="B446">
        <v>3.4574399999999998E-2</v>
      </c>
    </row>
    <row r="447" spans="2:2" x14ac:dyDescent="0.5">
      <c r="B447">
        <v>2.6132312000000001E-2</v>
      </c>
    </row>
    <row r="448" spans="2:2" x14ac:dyDescent="0.5">
      <c r="B448">
        <v>2.3679858000000002E-2</v>
      </c>
    </row>
    <row r="449" spans="2:2" x14ac:dyDescent="0.5">
      <c r="B449">
        <v>-1.2946300000000001E-2</v>
      </c>
    </row>
    <row r="450" spans="2:2" x14ac:dyDescent="0.5">
      <c r="B450">
        <v>4.8988443E-2</v>
      </c>
    </row>
    <row r="451" spans="2:2" x14ac:dyDescent="0.5">
      <c r="B451">
        <v>2.5159576999999999E-2</v>
      </c>
    </row>
    <row r="452" spans="2:2" x14ac:dyDescent="0.5">
      <c r="B452">
        <v>-2.1581600999999999E-2</v>
      </c>
    </row>
    <row r="453" spans="2:2" x14ac:dyDescent="0.5">
      <c r="B453">
        <v>-1.501393E-2</v>
      </c>
    </row>
    <row r="454" spans="2:2" x14ac:dyDescent="0.5">
      <c r="B454">
        <v>-3.8856483999999997E-2</v>
      </c>
    </row>
    <row r="455" spans="2:2" x14ac:dyDescent="0.5">
      <c r="B455">
        <v>1.557338E-2</v>
      </c>
    </row>
    <row r="456" spans="2:2" x14ac:dyDescent="0.5">
      <c r="B456">
        <v>-5.1394068000000001E-2</v>
      </c>
    </row>
    <row r="457" spans="2:2" x14ac:dyDescent="0.5">
      <c r="B457">
        <v>8.5582450000000008E-3</v>
      </c>
    </row>
    <row r="458" spans="2:2" x14ac:dyDescent="0.5">
      <c r="B458">
        <v>-5.8308769999999999E-3</v>
      </c>
    </row>
    <row r="459" spans="2:2" x14ac:dyDescent="0.5">
      <c r="B459">
        <v>-5.4810125999999997E-3</v>
      </c>
    </row>
    <row r="460" spans="2:2" x14ac:dyDescent="0.5">
      <c r="B460">
        <v>8.3093509999999995E-2</v>
      </c>
    </row>
    <row r="461" spans="2:2" x14ac:dyDescent="0.5">
      <c r="B461">
        <v>2.8951263000000001E-2</v>
      </c>
    </row>
    <row r="462" spans="2:2" x14ac:dyDescent="0.5">
      <c r="B462">
        <v>-6.8050705000000003E-2</v>
      </c>
    </row>
    <row r="463" spans="2:2" x14ac:dyDescent="0.5">
      <c r="B463">
        <v>-5.5799726000000001E-2</v>
      </c>
    </row>
    <row r="464" spans="2:2" x14ac:dyDescent="0.5">
      <c r="B464">
        <v>5.2089102999999998E-2</v>
      </c>
    </row>
    <row r="465" spans="2:2" x14ac:dyDescent="0.5">
      <c r="B465">
        <v>5.3618077E-2</v>
      </c>
    </row>
    <row r="466" spans="2:2" x14ac:dyDescent="0.5">
      <c r="B466">
        <v>-9.3756020000000002E-3</v>
      </c>
    </row>
    <row r="467" spans="2:2" x14ac:dyDescent="0.5">
      <c r="B467">
        <v>1.5164876000000001E-2</v>
      </c>
    </row>
    <row r="468" spans="2:2" x14ac:dyDescent="0.5">
      <c r="B468">
        <v>3.5948439999999998E-2</v>
      </c>
    </row>
    <row r="469" spans="2:2" x14ac:dyDescent="0.5">
      <c r="B469">
        <v>9.9319749999999998E-2</v>
      </c>
    </row>
    <row r="470" spans="2:2" x14ac:dyDescent="0.5">
      <c r="B470">
        <v>-5.7361342000000003E-2</v>
      </c>
    </row>
    <row r="471" spans="2:2" x14ac:dyDescent="0.5">
      <c r="B471">
        <v>2.1620413000000002E-2</v>
      </c>
    </row>
    <row r="472" spans="2:2" x14ac:dyDescent="0.5">
      <c r="B472">
        <v>2.2832438E-2</v>
      </c>
    </row>
    <row r="473" spans="2:2" x14ac:dyDescent="0.5">
      <c r="B473">
        <v>7.1953799999999998E-2</v>
      </c>
    </row>
    <row r="474" spans="2:2" x14ac:dyDescent="0.5">
      <c r="B474">
        <v>9.4812099999999996E-2</v>
      </c>
    </row>
    <row r="475" spans="2:2" x14ac:dyDescent="0.5">
      <c r="B475">
        <v>4.4014699999999997E-2</v>
      </c>
    </row>
    <row r="476" spans="2:2" x14ac:dyDescent="0.5">
      <c r="B476">
        <v>1.4192955E-2</v>
      </c>
    </row>
    <row r="477" spans="2:2" x14ac:dyDescent="0.5">
      <c r="B477">
        <v>-2.7504196000000002E-2</v>
      </c>
    </row>
    <row r="478" spans="2:2" x14ac:dyDescent="0.5">
      <c r="B478">
        <v>-3.6621279999999999E-2</v>
      </c>
    </row>
    <row r="479" spans="2:2" x14ac:dyDescent="0.5">
      <c r="B479">
        <v>-3.3202559999999999E-2</v>
      </c>
    </row>
    <row r="480" spans="2:2" x14ac:dyDescent="0.5">
      <c r="B480">
        <v>-2.8744591E-2</v>
      </c>
    </row>
    <row r="481" spans="2:2" x14ac:dyDescent="0.5">
      <c r="B481">
        <v>-2.2873867E-3</v>
      </c>
    </row>
    <row r="482" spans="2:2" x14ac:dyDescent="0.5">
      <c r="B482">
        <v>3.7845181999999998E-3</v>
      </c>
    </row>
    <row r="483" spans="2:2" x14ac:dyDescent="0.5">
      <c r="B483">
        <v>2.7399476999999998E-2</v>
      </c>
    </row>
    <row r="484" spans="2:2" x14ac:dyDescent="0.5">
      <c r="B484">
        <v>-8.4982010000000004E-3</v>
      </c>
    </row>
    <row r="485" spans="2:2" x14ac:dyDescent="0.5">
      <c r="B485">
        <v>-5.9582647000000002E-3</v>
      </c>
    </row>
    <row r="486" spans="2:2" x14ac:dyDescent="0.5">
      <c r="B486">
        <v>-2.4484760000000001E-2</v>
      </c>
    </row>
    <row r="487" spans="2:2" x14ac:dyDescent="0.5">
      <c r="B487">
        <v>3.5993252000000003E-2</v>
      </c>
    </row>
    <row r="488" spans="2:2" x14ac:dyDescent="0.5">
      <c r="B488">
        <v>-1.2608496E-2</v>
      </c>
    </row>
    <row r="489" spans="2:2" x14ac:dyDescent="0.5">
      <c r="B489">
        <v>3.7173689999999999E-4</v>
      </c>
    </row>
    <row r="490" spans="2:2" x14ac:dyDescent="0.5">
      <c r="B490">
        <v>-2.3248080000000001E-2</v>
      </c>
    </row>
    <row r="491" spans="2:2" x14ac:dyDescent="0.5">
      <c r="B491">
        <v>-1.7481111000000001E-2</v>
      </c>
    </row>
    <row r="492" spans="2:2" x14ac:dyDescent="0.5">
      <c r="B492">
        <v>1.2276515E-2</v>
      </c>
    </row>
    <row r="493" spans="2:2" x14ac:dyDescent="0.5">
      <c r="B493">
        <v>-1.7117117000000001E-2</v>
      </c>
    </row>
    <row r="494" spans="2:2" x14ac:dyDescent="0.5">
      <c r="B494">
        <v>3.7891756999999998E-2</v>
      </c>
    </row>
    <row r="495" spans="2:2" x14ac:dyDescent="0.5">
      <c r="B495">
        <v>-1.235343E-2</v>
      </c>
    </row>
    <row r="496" spans="2:2" x14ac:dyDescent="0.5">
      <c r="B496">
        <v>1.8480856E-2</v>
      </c>
    </row>
    <row r="497" spans="2:2" x14ac:dyDescent="0.5">
      <c r="B497">
        <v>-5.0457169999999999E-3</v>
      </c>
    </row>
    <row r="498" spans="2:2" x14ac:dyDescent="0.5">
      <c r="B498">
        <v>-5.0150733000000003E-2</v>
      </c>
    </row>
    <row r="499" spans="2:2" x14ac:dyDescent="0.5">
      <c r="B499">
        <v>1.1630817999999999E-2</v>
      </c>
    </row>
    <row r="500" spans="2:2" x14ac:dyDescent="0.5">
      <c r="B500">
        <v>7.4413859999999998E-2</v>
      </c>
    </row>
    <row r="501" spans="2:2" x14ac:dyDescent="0.5">
      <c r="B501">
        <v>2.1522825999999998E-2</v>
      </c>
    </row>
    <row r="502" spans="2:2" x14ac:dyDescent="0.5">
      <c r="B502">
        <v>-4.2464863999999998E-2</v>
      </c>
    </row>
    <row r="503" spans="2:2" x14ac:dyDescent="0.5">
      <c r="B503">
        <v>-3.6787238E-2</v>
      </c>
    </row>
    <row r="504" spans="2:2" x14ac:dyDescent="0.5">
      <c r="B504">
        <v>1.1441532000000001E-2</v>
      </c>
    </row>
    <row r="505" spans="2:2" x14ac:dyDescent="0.5">
      <c r="B505">
        <v>3.3106091999999997E-2</v>
      </c>
    </row>
    <row r="506" spans="2:2" x14ac:dyDescent="0.5">
      <c r="B506">
        <v>3.9641620000000002E-3</v>
      </c>
    </row>
    <row r="507" spans="2:2" x14ac:dyDescent="0.5">
      <c r="B507">
        <v>5.0275844E-2</v>
      </c>
    </row>
    <row r="508" spans="2:2" x14ac:dyDescent="0.5">
      <c r="B508">
        <v>-2.0382714E-2</v>
      </c>
    </row>
    <row r="509" spans="2:2" x14ac:dyDescent="0.5">
      <c r="B509">
        <v>-2.9313568000000002E-2</v>
      </c>
    </row>
    <row r="510" spans="2:2" x14ac:dyDescent="0.5">
      <c r="B510">
        <v>-6.0850754E-2</v>
      </c>
    </row>
    <row r="511" spans="2:2" x14ac:dyDescent="0.5">
      <c r="B511">
        <v>-2.1800772999999999E-2</v>
      </c>
    </row>
    <row r="512" spans="2:2" x14ac:dyDescent="0.5">
      <c r="B512">
        <v>-7.4490015E-3</v>
      </c>
    </row>
    <row r="513" spans="2:2" x14ac:dyDescent="0.5">
      <c r="B513">
        <v>1.1057719000000001E-2</v>
      </c>
    </row>
    <row r="514" spans="2:2" x14ac:dyDescent="0.5">
      <c r="B514">
        <v>-2.1223499E-2</v>
      </c>
    </row>
    <row r="515" spans="2:2" x14ac:dyDescent="0.5">
      <c r="B515">
        <v>5.34771E-2</v>
      </c>
    </row>
    <row r="516" spans="2:2" x14ac:dyDescent="0.5">
      <c r="B516">
        <v>7.9393829999999999E-2</v>
      </c>
    </row>
    <row r="517" spans="2:2" x14ac:dyDescent="0.5">
      <c r="B517">
        <v>-1.8288450000000001E-2</v>
      </c>
    </row>
    <row r="518" spans="2:2" x14ac:dyDescent="0.5">
      <c r="B518">
        <v>1.7788344999999999E-3</v>
      </c>
    </row>
    <row r="519" spans="2:2" x14ac:dyDescent="0.5">
      <c r="B519">
        <v>4.264631E-2</v>
      </c>
    </row>
    <row r="520" spans="2:2" x14ac:dyDescent="0.5">
      <c r="B520">
        <v>-4.3531550000000002E-2</v>
      </c>
    </row>
    <row r="521" spans="2:2" x14ac:dyDescent="0.5">
      <c r="B521">
        <v>-7.0893170000000004E-3</v>
      </c>
    </row>
    <row r="522" spans="2:2" x14ac:dyDescent="0.5">
      <c r="B522">
        <v>-2.9166365E-2</v>
      </c>
    </row>
    <row r="523" spans="2:2" x14ac:dyDescent="0.5">
      <c r="B523">
        <v>-5.5485472000000001E-2</v>
      </c>
    </row>
    <row r="524" spans="2:2" x14ac:dyDescent="0.5">
      <c r="B524">
        <v>-1.2215912000000001E-2</v>
      </c>
    </row>
    <row r="525" spans="2:2" x14ac:dyDescent="0.5">
      <c r="B525">
        <v>-6.6569870000000003E-2</v>
      </c>
    </row>
    <row r="526" spans="2:2" x14ac:dyDescent="0.5">
      <c r="B526">
        <v>3.2740379999999999E-2</v>
      </c>
    </row>
    <row r="527" spans="2:2" x14ac:dyDescent="0.5">
      <c r="B527">
        <v>4.0869205999999998E-2</v>
      </c>
    </row>
    <row r="528" spans="2:2" x14ac:dyDescent="0.5">
      <c r="B528">
        <v>1.5010478000000001E-2</v>
      </c>
    </row>
    <row r="529" spans="2:2" x14ac:dyDescent="0.5">
      <c r="B529">
        <v>3.3719369999999999E-2</v>
      </c>
    </row>
    <row r="530" spans="2:2" x14ac:dyDescent="0.5">
      <c r="B530">
        <v>-6.0427877999999997E-2</v>
      </c>
    </row>
    <row r="531" spans="2:2" x14ac:dyDescent="0.5">
      <c r="B531">
        <v>2.6521493E-2</v>
      </c>
    </row>
    <row r="532" spans="2:2" x14ac:dyDescent="0.5">
      <c r="B532">
        <v>4.4367705E-2</v>
      </c>
    </row>
    <row r="533" spans="2:2" x14ac:dyDescent="0.5">
      <c r="B533">
        <v>-5.7884182999999999E-2</v>
      </c>
    </row>
    <row r="534" spans="2:2" x14ac:dyDescent="0.5">
      <c r="B534">
        <v>2.2706954000000001E-2</v>
      </c>
    </row>
    <row r="535" spans="2:2" x14ac:dyDescent="0.5">
      <c r="B535">
        <v>-7.4048856999999997E-3</v>
      </c>
    </row>
    <row r="536" spans="2:2" x14ac:dyDescent="0.5">
      <c r="B536">
        <v>-4.0431157000000002E-2</v>
      </c>
    </row>
    <row r="537" spans="2:2" x14ac:dyDescent="0.5">
      <c r="B537">
        <v>-3.2911273000000001E-3</v>
      </c>
    </row>
    <row r="538" spans="2:2" x14ac:dyDescent="0.5">
      <c r="B538">
        <v>-6.5522200000000001E-3</v>
      </c>
    </row>
    <row r="539" spans="2:2" x14ac:dyDescent="0.5">
      <c r="B539">
        <v>-4.6449397000000003E-2</v>
      </c>
    </row>
    <row r="540" spans="2:2" x14ac:dyDescent="0.5">
      <c r="B540">
        <v>6.5338406999999998E-3</v>
      </c>
    </row>
    <row r="541" spans="2:2" x14ac:dyDescent="0.5">
      <c r="B541">
        <v>-2.7885589999999998E-2</v>
      </c>
    </row>
    <row r="542" spans="2:2" x14ac:dyDescent="0.5">
      <c r="B542">
        <v>-2.9342465000000002E-2</v>
      </c>
    </row>
    <row r="543" spans="2:2" x14ac:dyDescent="0.5">
      <c r="B543">
        <v>4.2686567000000002E-2</v>
      </c>
    </row>
    <row r="544" spans="2:2" x14ac:dyDescent="0.5">
      <c r="B544">
        <v>-6.2690814999999999E-3</v>
      </c>
    </row>
    <row r="545" spans="2:2" x14ac:dyDescent="0.5">
      <c r="B545">
        <v>-2.2578817E-3</v>
      </c>
    </row>
    <row r="546" spans="2:2" x14ac:dyDescent="0.5">
      <c r="B546">
        <v>-2.3741327E-2</v>
      </c>
    </row>
    <row r="547" spans="2:2" x14ac:dyDescent="0.5">
      <c r="B547">
        <v>-2.3205195000000001E-2</v>
      </c>
    </row>
    <row r="548" spans="2:2" x14ac:dyDescent="0.5">
      <c r="B548">
        <v>-1.3142155000000001E-2</v>
      </c>
    </row>
    <row r="549" spans="2:2" x14ac:dyDescent="0.5">
      <c r="B549">
        <v>5.7876767000000001E-3</v>
      </c>
    </row>
    <row r="550" spans="2:2" x14ac:dyDescent="0.5">
      <c r="B550">
        <v>-1.8283728999999999E-2</v>
      </c>
    </row>
    <row r="551" spans="2:2" x14ac:dyDescent="0.5">
      <c r="B551">
        <v>-2.3936064999999999E-2</v>
      </c>
    </row>
    <row r="552" spans="2:2" x14ac:dyDescent="0.5">
      <c r="B552">
        <v>-4.2182226000000003E-2</v>
      </c>
    </row>
    <row r="553" spans="2:2" x14ac:dyDescent="0.5">
      <c r="B553">
        <v>4.2592306000000003E-2</v>
      </c>
    </row>
    <row r="554" spans="2:2" x14ac:dyDescent="0.5">
      <c r="B554">
        <v>2.5909069999999999E-2</v>
      </c>
    </row>
    <row r="555" spans="2:2" x14ac:dyDescent="0.5">
      <c r="B555">
        <v>8.2239370000000006E-3</v>
      </c>
    </row>
    <row r="556" spans="2:2" x14ac:dyDescent="0.5">
      <c r="B556">
        <v>-5.1058470000000002E-3</v>
      </c>
    </row>
    <row r="557" spans="2:2" x14ac:dyDescent="0.5">
      <c r="B557">
        <v>-4.5998259999999999E-2</v>
      </c>
    </row>
    <row r="558" spans="2:2" x14ac:dyDescent="0.5">
      <c r="B558">
        <v>-5.7482499999999999E-2</v>
      </c>
    </row>
    <row r="559" spans="2:2" x14ac:dyDescent="0.5">
      <c r="B559">
        <v>1.5251270000000001E-2</v>
      </c>
    </row>
    <row r="560" spans="2:2" x14ac:dyDescent="0.5">
      <c r="B560">
        <v>-4.8992889999999997E-2</v>
      </c>
    </row>
    <row r="561" spans="2:2" x14ac:dyDescent="0.5">
      <c r="B561">
        <v>-3.4919052999999999E-2</v>
      </c>
    </row>
    <row r="562" spans="2:2" x14ac:dyDescent="0.5">
      <c r="B562">
        <v>-2.3663674999999999E-2</v>
      </c>
    </row>
    <row r="563" spans="2:2" x14ac:dyDescent="0.5">
      <c r="B563">
        <v>-5.8493013E-3</v>
      </c>
    </row>
    <row r="564" spans="2:2" x14ac:dyDescent="0.5">
      <c r="B564">
        <v>-3.2341689999999999E-2</v>
      </c>
    </row>
    <row r="565" spans="2:2" x14ac:dyDescent="0.5">
      <c r="B565">
        <v>1.0800778E-2</v>
      </c>
    </row>
    <row r="566" spans="2:2" x14ac:dyDescent="0.5">
      <c r="B566">
        <v>-5.7246999999999999E-2</v>
      </c>
    </row>
    <row r="567" spans="2:2" x14ac:dyDescent="0.5">
      <c r="B567">
        <v>5.4883648E-2</v>
      </c>
    </row>
    <row r="568" spans="2:2" x14ac:dyDescent="0.5">
      <c r="B568">
        <v>-2.7060047E-2</v>
      </c>
    </row>
    <row r="569" spans="2:2" x14ac:dyDescent="0.5">
      <c r="B569">
        <v>-1.3195848E-2</v>
      </c>
    </row>
    <row r="570" spans="2:2" x14ac:dyDescent="0.5">
      <c r="B570">
        <v>-3.9604522000000003E-2</v>
      </c>
    </row>
    <row r="571" spans="2:2" x14ac:dyDescent="0.5">
      <c r="B571">
        <v>2.0625273E-2</v>
      </c>
    </row>
    <row r="572" spans="2:2" x14ac:dyDescent="0.5">
      <c r="B572">
        <v>-1.050959E-3</v>
      </c>
    </row>
    <row r="573" spans="2:2" x14ac:dyDescent="0.5">
      <c r="B573">
        <v>2.9411835000000002E-3</v>
      </c>
    </row>
    <row r="574" spans="2:2" x14ac:dyDescent="0.5">
      <c r="B574">
        <v>-1.3179133000000001E-2</v>
      </c>
    </row>
    <row r="575" spans="2:2" x14ac:dyDescent="0.5">
      <c r="B575">
        <v>-1.9281406000000001E-2</v>
      </c>
    </row>
    <row r="576" spans="2:2" x14ac:dyDescent="0.5">
      <c r="B576">
        <v>7.627717E-3</v>
      </c>
    </row>
    <row r="577" spans="2:2" x14ac:dyDescent="0.5">
      <c r="B577">
        <v>5.6946772999999999E-2</v>
      </c>
    </row>
    <row r="578" spans="2:2" x14ac:dyDescent="0.5">
      <c r="B578">
        <v>3.4479026000000003E-2</v>
      </c>
    </row>
    <row r="579" spans="2:2" x14ac:dyDescent="0.5">
      <c r="B579">
        <v>2.3969404E-2</v>
      </c>
    </row>
    <row r="580" spans="2:2" x14ac:dyDescent="0.5">
      <c r="B580">
        <v>1.0490263E-2</v>
      </c>
    </row>
    <row r="581" spans="2:2" x14ac:dyDescent="0.5">
      <c r="B581">
        <v>4.9673966E-3</v>
      </c>
    </row>
    <row r="582" spans="2:2" x14ac:dyDescent="0.5">
      <c r="B582">
        <v>-5.6564965999999998E-3</v>
      </c>
    </row>
    <row r="583" spans="2:2" x14ac:dyDescent="0.5">
      <c r="B583">
        <v>-1.8648689999999999E-2</v>
      </c>
    </row>
    <row r="584" spans="2:2" x14ac:dyDescent="0.5">
      <c r="B584">
        <v>6.5560973999999996E-3</v>
      </c>
    </row>
    <row r="585" spans="2:2" x14ac:dyDescent="0.5">
      <c r="B585">
        <v>3.4581435999999998E-4</v>
      </c>
    </row>
    <row r="586" spans="2:2" x14ac:dyDescent="0.5">
      <c r="B586">
        <v>-3.9158825000000001E-2</v>
      </c>
    </row>
    <row r="587" spans="2:2" x14ac:dyDescent="0.5">
      <c r="B587">
        <v>6.7397020000000002E-2</v>
      </c>
    </row>
    <row r="588" spans="2:2" x14ac:dyDescent="0.5">
      <c r="B588">
        <v>1.5199882E-3</v>
      </c>
    </row>
    <row r="589" spans="2:2" x14ac:dyDescent="0.5">
      <c r="B589">
        <v>-6.2660323E-3</v>
      </c>
    </row>
    <row r="590" spans="2:2" x14ac:dyDescent="0.5">
      <c r="B590">
        <v>1.6201442E-2</v>
      </c>
    </row>
    <row r="591" spans="2:2" x14ac:dyDescent="0.5">
      <c r="B591">
        <v>5.1896884999999997E-2</v>
      </c>
    </row>
    <row r="592" spans="2:2" x14ac:dyDescent="0.5">
      <c r="B592">
        <v>-3.6771060000000001E-2</v>
      </c>
    </row>
    <row r="593" spans="2:2" x14ac:dyDescent="0.5">
      <c r="B593">
        <v>-4.1515600000000003E-3</v>
      </c>
    </row>
    <row r="594" spans="2:2" x14ac:dyDescent="0.5">
      <c r="B594">
        <v>-3.3719150000000003E-2</v>
      </c>
    </row>
    <row r="595" spans="2:2" x14ac:dyDescent="0.5">
      <c r="B595">
        <v>4.2794183E-2</v>
      </c>
    </row>
    <row r="596" spans="2:2" x14ac:dyDescent="0.5">
      <c r="B596">
        <v>-2.2078995000000001E-2</v>
      </c>
    </row>
    <row r="597" spans="2:2" x14ac:dyDescent="0.5">
      <c r="B597">
        <v>-1.8004882999999999E-2</v>
      </c>
    </row>
    <row r="598" spans="2:2" x14ac:dyDescent="0.5">
      <c r="B598">
        <v>2.3588913999999999E-2</v>
      </c>
    </row>
    <row r="599" spans="2:2" x14ac:dyDescent="0.5">
      <c r="B599">
        <v>9.9157039999999991E-3</v>
      </c>
    </row>
    <row r="600" spans="2:2" x14ac:dyDescent="0.5">
      <c r="B600">
        <v>3.648596E-3</v>
      </c>
    </row>
    <row r="601" spans="2:2" x14ac:dyDescent="0.5">
      <c r="B601">
        <v>-1.1176559000000001E-2</v>
      </c>
    </row>
    <row r="602" spans="2:2" x14ac:dyDescent="0.5">
      <c r="B602">
        <v>3.2083646000000002E-3</v>
      </c>
    </row>
    <row r="603" spans="2:2" x14ac:dyDescent="0.5">
      <c r="B603">
        <v>1.0632938999999999E-2</v>
      </c>
    </row>
    <row r="604" spans="2:2" x14ac:dyDescent="0.5">
      <c r="B604">
        <v>-6.7156830000000001E-2</v>
      </c>
    </row>
    <row r="605" spans="2:2" x14ac:dyDescent="0.5">
      <c r="B605">
        <v>4.4560637000000004E-3</v>
      </c>
    </row>
    <row r="606" spans="2:2" x14ac:dyDescent="0.5">
      <c r="B606">
        <v>2.5460956999999999E-2</v>
      </c>
    </row>
    <row r="607" spans="2:2" x14ac:dyDescent="0.5">
      <c r="B607">
        <v>4.8072115000000002E-3</v>
      </c>
    </row>
    <row r="608" spans="2:2" x14ac:dyDescent="0.5">
      <c r="B608">
        <v>-1.1813873E-3</v>
      </c>
    </row>
    <row r="609" spans="2:2" x14ac:dyDescent="0.5">
      <c r="B609">
        <v>3.7780590000000003E-2</v>
      </c>
    </row>
    <row r="610" spans="2:2" x14ac:dyDescent="0.5">
      <c r="B610">
        <v>1.1128047E-2</v>
      </c>
    </row>
    <row r="611" spans="2:2" x14ac:dyDescent="0.5">
      <c r="B611">
        <v>-1.5120539000000001E-2</v>
      </c>
    </row>
    <row r="612" spans="2:2" x14ac:dyDescent="0.5">
      <c r="B612">
        <v>2.554335E-3</v>
      </c>
    </row>
    <row r="613" spans="2:2" x14ac:dyDescent="0.5">
      <c r="B613">
        <v>-3.4153391999999999E-3</v>
      </c>
    </row>
    <row r="614" spans="2:2" x14ac:dyDescent="0.5">
      <c r="B614">
        <v>-5.0551592999999999E-2</v>
      </c>
    </row>
    <row r="615" spans="2:2" x14ac:dyDescent="0.5">
      <c r="B615">
        <v>-1.7287795000000002E-2</v>
      </c>
    </row>
    <row r="616" spans="2:2" x14ac:dyDescent="0.5">
      <c r="B616">
        <v>3.0114510000000001E-2</v>
      </c>
    </row>
    <row r="617" spans="2:2" x14ac:dyDescent="0.5">
      <c r="B617">
        <v>3.4512402E-3</v>
      </c>
    </row>
    <row r="618" spans="2:2" x14ac:dyDescent="0.5">
      <c r="B618">
        <v>-1.8140262000000001E-2</v>
      </c>
    </row>
    <row r="619" spans="2:2" x14ac:dyDescent="0.5">
      <c r="B619">
        <v>8.131127E-5</v>
      </c>
    </row>
    <row r="620" spans="2:2" x14ac:dyDescent="0.5">
      <c r="B620">
        <v>-7.3639930000000001E-3</v>
      </c>
    </row>
    <row r="621" spans="2:2" x14ac:dyDescent="0.5">
      <c r="B621">
        <v>1.3303407499999999E-2</v>
      </c>
    </row>
    <row r="622" spans="2:2" x14ac:dyDescent="0.5">
      <c r="B622">
        <v>-1.3495581E-2</v>
      </c>
    </row>
    <row r="623" spans="2:2" x14ac:dyDescent="0.5">
      <c r="B623">
        <v>-1.5440182E-2</v>
      </c>
    </row>
    <row r="624" spans="2:2" x14ac:dyDescent="0.5">
      <c r="B624">
        <v>-2.6724524999999999E-2</v>
      </c>
    </row>
    <row r="625" spans="2:2" x14ac:dyDescent="0.5">
      <c r="B625">
        <v>6.5396930000000006E-2</v>
      </c>
    </row>
    <row r="626" spans="2:2" x14ac:dyDescent="0.5">
      <c r="B626">
        <v>-2.8829192999999999E-3</v>
      </c>
    </row>
    <row r="627" spans="2:2" x14ac:dyDescent="0.5">
      <c r="B627">
        <v>-8.2186210000000006E-3</v>
      </c>
    </row>
    <row r="628" spans="2:2" x14ac:dyDescent="0.5">
      <c r="B628">
        <v>1.6574400999999999E-2</v>
      </c>
    </row>
    <row r="629" spans="2:2" x14ac:dyDescent="0.5">
      <c r="B629">
        <v>7.5734205999999998E-2</v>
      </c>
    </row>
    <row r="630" spans="2:2" x14ac:dyDescent="0.5">
      <c r="B630">
        <v>-6.0981664999999997E-2</v>
      </c>
    </row>
    <row r="631" spans="2:2" x14ac:dyDescent="0.5">
      <c r="B631">
        <v>5.1715400000000002E-2</v>
      </c>
    </row>
    <row r="632" spans="2:2" x14ac:dyDescent="0.5">
      <c r="B632">
        <v>1.1530952000000001E-2</v>
      </c>
    </row>
    <row r="633" spans="2:2" x14ac:dyDescent="0.5">
      <c r="B633">
        <v>-1.0477385000000001E-2</v>
      </c>
    </row>
    <row r="634" spans="2:2" x14ac:dyDescent="0.5">
      <c r="B634">
        <v>-3.2449185999999998E-2</v>
      </c>
    </row>
    <row r="635" spans="2:2" x14ac:dyDescent="0.5">
      <c r="B635">
        <v>-3.4533630000000003E-2</v>
      </c>
    </row>
    <row r="636" spans="2:2" x14ac:dyDescent="0.5">
      <c r="B636">
        <v>-4.1122770000000003E-2</v>
      </c>
    </row>
    <row r="637" spans="2:2" x14ac:dyDescent="0.5">
      <c r="B637">
        <v>7.5271636999999997E-3</v>
      </c>
    </row>
    <row r="638" spans="2:2" x14ac:dyDescent="0.5">
      <c r="B638">
        <v>8.75336E-3</v>
      </c>
    </row>
    <row r="639" spans="2:2" x14ac:dyDescent="0.5">
      <c r="B639">
        <v>6.6153939999999994E-2</v>
      </c>
    </row>
    <row r="640" spans="2:2" x14ac:dyDescent="0.5">
      <c r="B640">
        <v>2.47533E-3</v>
      </c>
    </row>
    <row r="641" spans="2:2" x14ac:dyDescent="0.5">
      <c r="B641">
        <v>-1.8429273999999999E-2</v>
      </c>
    </row>
    <row r="642" spans="2:2" x14ac:dyDescent="0.5">
      <c r="B642">
        <v>-9.1500399999999997E-4</v>
      </c>
    </row>
    <row r="643" spans="2:2" x14ac:dyDescent="0.5">
      <c r="B643">
        <v>9.5514505000000003E-4</v>
      </c>
    </row>
    <row r="644" spans="2:2" x14ac:dyDescent="0.5">
      <c r="B644">
        <v>5.7353277000000001E-2</v>
      </c>
    </row>
    <row r="645" spans="2:2" x14ac:dyDescent="0.5">
      <c r="B645">
        <v>-1.4007530000000001E-2</v>
      </c>
    </row>
    <row r="646" spans="2:2" x14ac:dyDescent="0.5">
      <c r="B646">
        <v>7.6294154000000003E-2</v>
      </c>
    </row>
    <row r="647" spans="2:2" x14ac:dyDescent="0.5">
      <c r="B647">
        <v>-5.7699540000000001E-2</v>
      </c>
    </row>
    <row r="648" spans="2:2" x14ac:dyDescent="0.5">
      <c r="B648">
        <v>-2.6695607E-2</v>
      </c>
    </row>
    <row r="649" spans="2:2" x14ac:dyDescent="0.5">
      <c r="B649">
        <v>-4.4722053999999997E-2</v>
      </c>
    </row>
    <row r="650" spans="2:2" x14ac:dyDescent="0.5">
      <c r="B650">
        <v>-4.0094279999999998E-3</v>
      </c>
    </row>
    <row r="651" spans="2:2" x14ac:dyDescent="0.5">
      <c r="B651">
        <v>-3.5265619999999998E-2</v>
      </c>
    </row>
    <row r="652" spans="2:2" x14ac:dyDescent="0.5">
      <c r="B652">
        <v>1.7287574999999999E-2</v>
      </c>
    </row>
    <row r="653" spans="2:2" x14ac:dyDescent="0.5">
      <c r="B653">
        <v>1.0430923E-2</v>
      </c>
    </row>
    <row r="654" spans="2:2" x14ac:dyDescent="0.5">
      <c r="B654">
        <v>6.6221569999999993E-2</v>
      </c>
    </row>
    <row r="655" spans="2:2" x14ac:dyDescent="0.5">
      <c r="B655">
        <v>3.3031072000000002E-2</v>
      </c>
    </row>
    <row r="656" spans="2:2" x14ac:dyDescent="0.5">
      <c r="B656">
        <v>-4.3122698000000001E-2</v>
      </c>
    </row>
    <row r="657" spans="2:2" x14ac:dyDescent="0.5">
      <c r="B657">
        <v>9.6887459999999998E-3</v>
      </c>
    </row>
    <row r="658" spans="2:2" x14ac:dyDescent="0.5">
      <c r="B658">
        <v>-2.4074083E-2</v>
      </c>
    </row>
    <row r="659" spans="2:2" x14ac:dyDescent="0.5">
      <c r="B659">
        <v>4.6715102999999999E-3</v>
      </c>
    </row>
    <row r="660" spans="2:2" x14ac:dyDescent="0.5">
      <c r="B660">
        <v>4.7955309999999996E-3</v>
      </c>
    </row>
    <row r="661" spans="2:2" x14ac:dyDescent="0.5">
      <c r="B661">
        <v>1.5187576E-2</v>
      </c>
    </row>
    <row r="662" spans="2:2" x14ac:dyDescent="0.5">
      <c r="B662">
        <v>2.8613736000000002E-3</v>
      </c>
    </row>
    <row r="663" spans="2:2" x14ac:dyDescent="0.5">
      <c r="B663">
        <v>4.2257040000000003E-2</v>
      </c>
    </row>
    <row r="664" spans="2:2" x14ac:dyDescent="0.5">
      <c r="B664">
        <v>-2.4027465000000001E-2</v>
      </c>
    </row>
    <row r="665" spans="2:2" x14ac:dyDescent="0.5">
      <c r="B665">
        <v>7.9422919999999994E-2</v>
      </c>
    </row>
    <row r="666" spans="2:2" x14ac:dyDescent="0.5">
      <c r="B666">
        <v>4.9619946999999998E-2</v>
      </c>
    </row>
    <row r="667" spans="2:2" x14ac:dyDescent="0.5">
      <c r="B667">
        <v>3.1561009000000001E-3</v>
      </c>
    </row>
    <row r="668" spans="2:2" x14ac:dyDescent="0.5">
      <c r="B668">
        <v>-4.8458646000000003E-3</v>
      </c>
    </row>
    <row r="669" spans="2:2" x14ac:dyDescent="0.5">
      <c r="B669">
        <v>-2.4792636E-3</v>
      </c>
    </row>
    <row r="670" spans="2:2" x14ac:dyDescent="0.5">
      <c r="B670">
        <v>-8.0393800000000005E-3</v>
      </c>
    </row>
    <row r="671" spans="2:2" x14ac:dyDescent="0.5">
      <c r="B671">
        <v>2.345995E-2</v>
      </c>
    </row>
    <row r="672" spans="2:2" x14ac:dyDescent="0.5">
      <c r="B672">
        <v>-4.2431980000000001E-2</v>
      </c>
    </row>
    <row r="673" spans="2:2" x14ac:dyDescent="0.5">
      <c r="B673">
        <v>-6.6353540000000003E-2</v>
      </c>
    </row>
    <row r="674" spans="2:2" x14ac:dyDescent="0.5">
      <c r="B674">
        <v>-3.8425870000000001E-2</v>
      </c>
    </row>
    <row r="675" spans="2:2" x14ac:dyDescent="0.5">
      <c r="B675">
        <v>-2.9566117999999999E-2</v>
      </c>
    </row>
    <row r="676" spans="2:2" x14ac:dyDescent="0.5">
      <c r="B676">
        <v>-2.3005985E-2</v>
      </c>
    </row>
    <row r="677" spans="2:2" x14ac:dyDescent="0.5">
      <c r="B677">
        <v>-4.4836570000000003E-3</v>
      </c>
    </row>
    <row r="678" spans="2:2" x14ac:dyDescent="0.5">
      <c r="B678">
        <v>3.4589913E-2</v>
      </c>
    </row>
    <row r="679" spans="2:2" x14ac:dyDescent="0.5">
      <c r="B679">
        <v>4.9012103000000001E-3</v>
      </c>
    </row>
    <row r="680" spans="2:2" x14ac:dyDescent="0.5">
      <c r="B680">
        <v>5.3258850000000003E-2</v>
      </c>
    </row>
    <row r="681" spans="2:2" x14ac:dyDescent="0.5">
      <c r="B681">
        <v>3.5819832000000003E-2</v>
      </c>
    </row>
    <row r="682" spans="2:2" x14ac:dyDescent="0.5">
      <c r="B682">
        <v>-1.7143334999999999E-2</v>
      </c>
    </row>
    <row r="683" spans="2:2" x14ac:dyDescent="0.5">
      <c r="B683">
        <v>-3.9334743999999998E-2</v>
      </c>
    </row>
    <row r="684" spans="2:2" x14ac:dyDescent="0.5">
      <c r="B684">
        <v>-5.4456155999999999E-2</v>
      </c>
    </row>
    <row r="685" spans="2:2" x14ac:dyDescent="0.5">
      <c r="B685">
        <v>2.9205135000000002E-3</v>
      </c>
    </row>
    <row r="686" spans="2:2" x14ac:dyDescent="0.5">
      <c r="B686">
        <v>1.9937650000000001E-2</v>
      </c>
    </row>
    <row r="687" spans="2:2" x14ac:dyDescent="0.5">
      <c r="B687">
        <v>5.3217130000000001E-2</v>
      </c>
    </row>
    <row r="688" spans="2:2" x14ac:dyDescent="0.5">
      <c r="B688">
        <v>1.2937571E-2</v>
      </c>
    </row>
    <row r="689" spans="2:2" x14ac:dyDescent="0.5">
      <c r="B689">
        <v>8.9672853999999997E-4</v>
      </c>
    </row>
    <row r="690" spans="2:2" x14ac:dyDescent="0.5">
      <c r="B690">
        <v>3.9598912E-2</v>
      </c>
    </row>
    <row r="691" spans="2:2" x14ac:dyDescent="0.5">
      <c r="B691">
        <v>1.0707723000000001E-2</v>
      </c>
    </row>
    <row r="692" spans="2:2" x14ac:dyDescent="0.5">
      <c r="B692">
        <v>-7.2433780000000003E-2</v>
      </c>
    </row>
    <row r="693" spans="2:2" x14ac:dyDescent="0.5">
      <c r="B693">
        <v>-7.1599767999999996E-3</v>
      </c>
    </row>
    <row r="694" spans="2:2" x14ac:dyDescent="0.5">
      <c r="B694">
        <v>-1.9894555000000001E-2</v>
      </c>
    </row>
    <row r="695" spans="2:2" x14ac:dyDescent="0.5">
      <c r="B695">
        <v>-1.3701298000000001E-2</v>
      </c>
    </row>
    <row r="696" spans="2:2" x14ac:dyDescent="0.5">
      <c r="B696">
        <v>-2.62569E-2</v>
      </c>
    </row>
    <row r="697" spans="2:2" x14ac:dyDescent="0.5">
      <c r="B697">
        <v>2.0804799999999998E-2</v>
      </c>
    </row>
    <row r="698" spans="2:2" x14ac:dyDescent="0.5">
      <c r="B698">
        <v>3.1479875999999997E-2</v>
      </c>
    </row>
    <row r="699" spans="2:2" x14ac:dyDescent="0.5">
      <c r="B699">
        <v>-1.1675807E-2</v>
      </c>
    </row>
    <row r="700" spans="2:2" x14ac:dyDescent="0.5">
      <c r="B700">
        <v>7.1551274E-3</v>
      </c>
    </row>
    <row r="701" spans="2:2" x14ac:dyDescent="0.5">
      <c r="B701">
        <v>4.0234335000000003E-2</v>
      </c>
    </row>
    <row r="702" spans="2:2" x14ac:dyDescent="0.5">
      <c r="B702">
        <v>-2.2852582999999999E-2</v>
      </c>
    </row>
    <row r="703" spans="2:2" x14ac:dyDescent="0.5">
      <c r="B703">
        <v>1.6940452000000002E-2</v>
      </c>
    </row>
    <row r="704" spans="2:2" x14ac:dyDescent="0.5">
      <c r="B704">
        <v>-3.8330139999999999E-2</v>
      </c>
    </row>
    <row r="705" spans="2:2" x14ac:dyDescent="0.5">
      <c r="B705">
        <v>-3.322862E-2</v>
      </c>
    </row>
    <row r="706" spans="2:2" x14ac:dyDescent="0.5">
      <c r="B706">
        <v>-5.6726449999999998E-2</v>
      </c>
    </row>
    <row r="707" spans="2:2" x14ac:dyDescent="0.5">
      <c r="B707">
        <v>-2.1715044999999999E-2</v>
      </c>
    </row>
    <row r="708" spans="2:2" x14ac:dyDescent="0.5">
      <c r="B708">
        <v>-1.4130082E-2</v>
      </c>
    </row>
    <row r="709" spans="2:2" x14ac:dyDescent="0.5">
      <c r="B709">
        <v>2.8490026000000002E-2</v>
      </c>
    </row>
    <row r="710" spans="2:2" x14ac:dyDescent="0.5">
      <c r="B710">
        <v>-2.2988956000000001E-2</v>
      </c>
    </row>
    <row r="711" spans="2:2" x14ac:dyDescent="0.5">
      <c r="B711">
        <v>1.0683600999999999E-2</v>
      </c>
    </row>
    <row r="712" spans="2:2" x14ac:dyDescent="0.5">
      <c r="B712">
        <v>-2.9946391999999999E-2</v>
      </c>
    </row>
    <row r="713" spans="2:2" x14ac:dyDescent="0.5">
      <c r="B713">
        <v>-2.5474625000000001E-3</v>
      </c>
    </row>
    <row r="714" spans="2:2" x14ac:dyDescent="0.5">
      <c r="B714">
        <v>3.7509359999999999E-2</v>
      </c>
    </row>
    <row r="715" spans="2:2" x14ac:dyDescent="0.5">
      <c r="B715">
        <v>4.3951727000000003E-2</v>
      </c>
    </row>
    <row r="716" spans="2:2" x14ac:dyDescent="0.5">
      <c r="B716">
        <v>3.2537575999999999E-2</v>
      </c>
    </row>
    <row r="717" spans="2:2" x14ac:dyDescent="0.5">
      <c r="B717">
        <v>-8.3951459999999992E-3</v>
      </c>
    </row>
    <row r="718" spans="2:2" x14ac:dyDescent="0.5">
      <c r="B718">
        <v>6.2449633999999997E-2</v>
      </c>
    </row>
    <row r="719" spans="2:2" x14ac:dyDescent="0.5">
      <c r="B719">
        <v>-6.02759E-2</v>
      </c>
    </row>
    <row r="720" spans="2:2" x14ac:dyDescent="0.5">
      <c r="B720">
        <v>-1.8436464E-2</v>
      </c>
    </row>
    <row r="721" spans="2:2" x14ac:dyDescent="0.5">
      <c r="B721">
        <v>3.3935502999999999E-4</v>
      </c>
    </row>
    <row r="722" spans="2:2" x14ac:dyDescent="0.5">
      <c r="B722">
        <v>-9.5150189999999996E-3</v>
      </c>
    </row>
    <row r="723" spans="2:2" x14ac:dyDescent="0.5">
      <c r="B723">
        <v>-1.9150136000000002E-2</v>
      </c>
    </row>
    <row r="724" spans="2:2" x14ac:dyDescent="0.5">
      <c r="B724">
        <v>-4.1717507000000001E-2</v>
      </c>
    </row>
    <row r="725" spans="2:2" x14ac:dyDescent="0.5">
      <c r="B725">
        <v>3.6284539999999997E-2</v>
      </c>
    </row>
    <row r="726" spans="2:2" x14ac:dyDescent="0.5">
      <c r="B726">
        <v>1.3629572E-2</v>
      </c>
    </row>
    <row r="727" spans="2:2" x14ac:dyDescent="0.5">
      <c r="B727">
        <v>-3.4181399E-3</v>
      </c>
    </row>
    <row r="728" spans="2:2" x14ac:dyDescent="0.5">
      <c r="B728">
        <v>-1.1683555999999999E-2</v>
      </c>
    </row>
    <row r="729" spans="2:2" x14ac:dyDescent="0.5">
      <c r="B729">
        <v>3.6362803999999999E-2</v>
      </c>
    </row>
    <row r="730" spans="2:2" x14ac:dyDescent="0.5">
      <c r="B730">
        <v>6.5391734000000007E-2</v>
      </c>
    </row>
    <row r="731" spans="2:2" x14ac:dyDescent="0.5">
      <c r="B731">
        <v>-2.0421969000000002E-2</v>
      </c>
    </row>
    <row r="732" spans="2:2" x14ac:dyDescent="0.5">
      <c r="B732">
        <v>-4.4402916000000001E-2</v>
      </c>
    </row>
    <row r="733" spans="2:2" x14ac:dyDescent="0.5">
      <c r="B733">
        <v>-1.3110488E-2</v>
      </c>
    </row>
    <row r="734" spans="2:2" x14ac:dyDescent="0.5">
      <c r="B734">
        <v>2.1274214999999999E-2</v>
      </c>
    </row>
    <row r="735" spans="2:2" x14ac:dyDescent="0.5">
      <c r="B735">
        <v>1.0015893999999999E-2</v>
      </c>
    </row>
    <row r="736" spans="2:2" x14ac:dyDescent="0.5">
      <c r="B736">
        <v>2.4957088999999998E-2</v>
      </c>
    </row>
    <row r="737" spans="2:2" x14ac:dyDescent="0.5">
      <c r="B737">
        <v>-8.099249E-2</v>
      </c>
    </row>
    <row r="738" spans="2:2" x14ac:dyDescent="0.5">
      <c r="B738">
        <v>-7.1777480000000005E-2</v>
      </c>
    </row>
    <row r="739" spans="2:2" x14ac:dyDescent="0.5">
      <c r="B739">
        <v>5.4558063999999998E-3</v>
      </c>
    </row>
    <row r="740" spans="2:2" x14ac:dyDescent="0.5">
      <c r="B740">
        <v>-1.0671983499999999E-2</v>
      </c>
    </row>
    <row r="741" spans="2:2" x14ac:dyDescent="0.5">
      <c r="B741">
        <v>3.5216610000000002E-2</v>
      </c>
    </row>
    <row r="742" spans="2:2" x14ac:dyDescent="0.5">
      <c r="B742">
        <v>-3.2400955000000002E-2</v>
      </c>
    </row>
    <row r="743" spans="2:2" x14ac:dyDescent="0.5">
      <c r="B743">
        <v>4.5785344999999998E-2</v>
      </c>
    </row>
    <row r="744" spans="2:2" x14ac:dyDescent="0.5">
      <c r="B744">
        <v>6.4048804000000001E-3</v>
      </c>
    </row>
    <row r="745" spans="2:2" x14ac:dyDescent="0.5">
      <c r="B745">
        <v>-4.590495E-2</v>
      </c>
    </row>
    <row r="746" spans="2:2" x14ac:dyDescent="0.5">
      <c r="B746">
        <v>-2.1621916000000001E-3</v>
      </c>
    </row>
    <row r="747" spans="2:2" x14ac:dyDescent="0.5">
      <c r="B747">
        <v>-2.7397194999999999E-2</v>
      </c>
    </row>
    <row r="748" spans="2:2" x14ac:dyDescent="0.5">
      <c r="B748">
        <v>5.7335520000000001E-2</v>
      </c>
    </row>
    <row r="749" spans="2:2" x14ac:dyDescent="0.5">
      <c r="B749">
        <v>1.2870466000000001E-2</v>
      </c>
    </row>
    <row r="750" spans="2:2" x14ac:dyDescent="0.5">
      <c r="B750">
        <v>-9.2853250000000005E-3</v>
      </c>
    </row>
    <row r="751" spans="2:2" x14ac:dyDescent="0.5">
      <c r="B751">
        <v>-5.0283674E-2</v>
      </c>
    </row>
    <row r="752" spans="2:2" x14ac:dyDescent="0.5">
      <c r="B752">
        <v>-4.1519947000000001E-2</v>
      </c>
    </row>
    <row r="753" spans="2:2" x14ac:dyDescent="0.5">
      <c r="B753">
        <v>-4.7534697000000001E-2</v>
      </c>
    </row>
    <row r="754" spans="2:2" x14ac:dyDescent="0.5">
      <c r="B754">
        <v>-4.3356176000000001E-3</v>
      </c>
    </row>
    <row r="755" spans="2:2" x14ac:dyDescent="0.5">
      <c r="B755">
        <v>-2.5507080000000001E-2</v>
      </c>
    </row>
    <row r="756" spans="2:2" x14ac:dyDescent="0.5">
      <c r="B756">
        <v>9.7205539999999993E-3</v>
      </c>
    </row>
    <row r="757" spans="2:2" x14ac:dyDescent="0.5">
      <c r="B757">
        <v>-2.1261164999999999E-2</v>
      </c>
    </row>
    <row r="758" spans="2:2" x14ac:dyDescent="0.5">
      <c r="B758">
        <v>-5.9679862E-2</v>
      </c>
    </row>
    <row r="759" spans="2:2" x14ac:dyDescent="0.5">
      <c r="B759">
        <v>-3.2830092999999998E-2</v>
      </c>
    </row>
    <row r="760" spans="2:2" x14ac:dyDescent="0.5">
      <c r="B760">
        <v>-2.8213735E-3</v>
      </c>
    </row>
    <row r="761" spans="2:2" x14ac:dyDescent="0.5">
      <c r="B761">
        <v>-5.537624E-2</v>
      </c>
    </row>
    <row r="762" spans="2:2" x14ac:dyDescent="0.5">
      <c r="B762">
        <v>1.2486138000000001E-2</v>
      </c>
    </row>
    <row r="763" spans="2:2" x14ac:dyDescent="0.5">
      <c r="B763">
        <v>5.0803664999999998E-2</v>
      </c>
    </row>
    <row r="764" spans="2:2" x14ac:dyDescent="0.5">
      <c r="B764">
        <v>3.1539556000000003E-2</v>
      </c>
    </row>
    <row r="765" spans="2:2" x14ac:dyDescent="0.5">
      <c r="B765">
        <v>-4.8371919999999999E-2</v>
      </c>
    </row>
    <row r="766" spans="2:2" x14ac:dyDescent="0.5">
      <c r="B766">
        <v>-3.7694350000000001E-2</v>
      </c>
    </row>
    <row r="767" spans="2:2" x14ac:dyDescent="0.5">
      <c r="B767">
        <v>2.1641438999999998E-2</v>
      </c>
    </row>
    <row r="768" spans="2:2" x14ac:dyDescent="0.5">
      <c r="B768">
        <v>5.1638220000000002E-3</v>
      </c>
    </row>
    <row r="769" spans="2:2" x14ac:dyDescent="0.5">
      <c r="B769">
        <v>2.2359035999999999E-2</v>
      </c>
    </row>
    <row r="770" spans="2:2" x14ac:dyDescent="0.5">
      <c r="B770">
        <v>2.0948913E-2</v>
      </c>
    </row>
    <row r="771" spans="2:2" x14ac:dyDescent="0.5">
      <c r="B771">
        <v>-2.8638093E-2</v>
      </c>
    </row>
    <row r="772" spans="2:2" x14ac:dyDescent="0.5">
      <c r="B772">
        <v>3.2908519999999997E-2</v>
      </c>
    </row>
    <row r="773" spans="2:2" x14ac:dyDescent="0.5">
      <c r="B773">
        <v>9.2279664999999997E-2</v>
      </c>
    </row>
    <row r="774" spans="2:2" x14ac:dyDescent="0.5">
      <c r="B774">
        <v>1.3517988999999999E-2</v>
      </c>
    </row>
    <row r="775" spans="2:2" x14ac:dyDescent="0.5">
      <c r="B775">
        <v>2.2202365000000002E-2</v>
      </c>
    </row>
    <row r="776" spans="2:2" x14ac:dyDescent="0.5">
      <c r="B776">
        <v>-5.0559106999999999E-2</v>
      </c>
    </row>
    <row r="777" spans="2:2" x14ac:dyDescent="0.5">
      <c r="B777">
        <v>1.024112E-3</v>
      </c>
    </row>
    <row r="778" spans="2:2" x14ac:dyDescent="0.5">
      <c r="B778">
        <v>6.3044329999999996E-2</v>
      </c>
    </row>
    <row r="779" spans="2:2" x14ac:dyDescent="0.5">
      <c r="B779">
        <v>7.5865523000000004E-3</v>
      </c>
    </row>
    <row r="780" spans="2:2" x14ac:dyDescent="0.5">
      <c r="B780">
        <v>-8.4610099999999994E-2</v>
      </c>
    </row>
    <row r="781" spans="2:2" x14ac:dyDescent="0.5">
      <c r="B781">
        <v>-6.0570199999999998E-2</v>
      </c>
    </row>
    <row r="782" spans="2:2" x14ac:dyDescent="0.5">
      <c r="B782">
        <v>-9.9147339999999997E-3</v>
      </c>
    </row>
  </sheetData>
  <mergeCells count="2">
    <mergeCell ref="A1:K1"/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pane ySplit="1" topLeftCell="A2" activePane="bottomLeft" state="frozen"/>
      <selection pane="bottomLeft" activeCell="B16" sqref="B16"/>
    </sheetView>
  </sheetViews>
  <sheetFormatPr defaultRowHeight="14.35" x14ac:dyDescent="0.5"/>
  <cols>
    <col min="1" max="1" width="34" customWidth="1"/>
    <col min="2" max="2" width="95" customWidth="1"/>
  </cols>
  <sheetData>
    <row r="1" spans="1:2" x14ac:dyDescent="0.5">
      <c r="A1" t="s">
        <v>52</v>
      </c>
      <c r="B1" t="s">
        <v>53</v>
      </c>
    </row>
    <row r="2" spans="1:2" x14ac:dyDescent="0.5">
      <c r="A2" t="s">
        <v>54</v>
      </c>
      <c r="B2" t="s">
        <v>55</v>
      </c>
    </row>
    <row r="3" spans="1:2" x14ac:dyDescent="0.5">
      <c r="A3" t="s">
        <v>56</v>
      </c>
      <c r="B3" t="s">
        <v>88</v>
      </c>
    </row>
    <row r="4" spans="1:2" x14ac:dyDescent="0.5">
      <c r="A4" t="s">
        <v>57</v>
      </c>
      <c r="B4" t="s">
        <v>87</v>
      </c>
    </row>
    <row r="5" spans="1:2" x14ac:dyDescent="0.5">
      <c r="A5" t="s">
        <v>58</v>
      </c>
      <c r="B5" t="s">
        <v>59</v>
      </c>
    </row>
    <row r="6" spans="1:2" x14ac:dyDescent="0.5">
      <c r="A6" t="s">
        <v>60</v>
      </c>
      <c r="B6" t="s">
        <v>61</v>
      </c>
    </row>
    <row r="7" spans="1:2" x14ac:dyDescent="0.5">
      <c r="A7" t="s">
        <v>62</v>
      </c>
    </row>
    <row r="8" spans="1:2" x14ac:dyDescent="0.5">
      <c r="A8" t="s">
        <v>63</v>
      </c>
      <c r="B8" t="s">
        <v>64</v>
      </c>
    </row>
    <row r="9" spans="1:2" x14ac:dyDescent="0.5">
      <c r="A9" t="s">
        <v>65</v>
      </c>
      <c r="B9" t="s">
        <v>66</v>
      </c>
    </row>
    <row r="12" spans="1:2" x14ac:dyDescent="0.5">
      <c r="A12" t="s">
        <v>67</v>
      </c>
    </row>
    <row r="13" spans="1:2" x14ac:dyDescent="0.5">
      <c r="A13" t="s">
        <v>68</v>
      </c>
    </row>
    <row r="14" spans="1:2" x14ac:dyDescent="0.5">
      <c r="A14" t="s">
        <v>69</v>
      </c>
    </row>
    <row r="15" spans="1:2" x14ac:dyDescent="0.5">
      <c r="A15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MISC</vt:lpstr>
      <vt:lpstr>AIML_UDF_Tests</vt:lpstr>
      <vt:lpstr>AIML_Test_Data</vt:lpstr>
      <vt:lpstr>LLM_UDF_Tests</vt:lpstr>
      <vt:lpstr>LLM_Test_Data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npepin</dc:creator>
  <cp:lastModifiedBy>Nicolas Pepin</cp:lastModifiedBy>
  <dcterms:created xsi:type="dcterms:W3CDTF">2025-05-23T22:20:05Z</dcterms:created>
  <dcterms:modified xsi:type="dcterms:W3CDTF">2026-07-24T03:33:38Z</dcterms:modified>
</cp:coreProperties>
</file>